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mc:AlternateContent xmlns:mc="http://schemas.openxmlformats.org/markup-compatibility/2006">
    <mc:Choice Requires="x15">
      <x15ac:absPath xmlns:x15ac="http://schemas.microsoft.com/office/spreadsheetml/2010/11/ac" url="C:\Users\Lenovo\Desktop\Data Analytics\Finance analytics\"/>
    </mc:Choice>
  </mc:AlternateContent>
  <xr:revisionPtr revIDLastSave="0" documentId="8_{35F73370-96B8-4064-A60E-7D71C33796D7}" xr6:coauthVersionLast="36" xr6:coauthVersionMax="36" xr10:uidLastSave="{00000000-0000-0000-0000-000000000000}"/>
  <bookViews>
    <workbookView xWindow="0" yWindow="0" windowWidth="19200" windowHeight="8250" activeTab="2" xr2:uid="{00000000-000D-0000-FFFF-FFFF00000000}"/>
  </bookViews>
  <sheets>
    <sheet name="Finance_Data" sheetId="1" r:id="rId1"/>
    <sheet name="Pivot tables" sheetId="2" r:id="rId2"/>
    <sheet name="Dashboard" sheetId="3" r:id="rId3"/>
  </sheets>
  <definedNames>
    <definedName name="_xlnm._FilterDatabase" localSheetId="0" hidden="1">Finance_Data!$A$1:$K$145</definedName>
    <definedName name="Slicer_Month">#N/A</definedName>
    <definedName name="Slicer_Product">#N/A</definedName>
    <definedName name="Slicer_Region">#N/A</definedName>
  </definedNames>
  <calcPr calcId="179021"/>
  <pivotCaches>
    <pivotCache cacheId="1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N20" i="1" l="1"/>
  <c r="J43" i="2"/>
  <c r="N15" i="1"/>
  <c r="N16" i="1"/>
  <c r="O7" i="1"/>
  <c r="N8" i="1"/>
  <c r="N7" i="1"/>
  <c r="N4" i="1"/>
  <c r="B39" i="2"/>
  <c r="B9" i="2"/>
  <c r="N9" i="1" l="1"/>
  <c r="N10" i="1" s="1"/>
</calcChain>
</file>

<file path=xl/sharedStrings.xml><?xml version="1.0" encoding="utf-8"?>
<sst xmlns="http://schemas.openxmlformats.org/spreadsheetml/2006/main" count="610" uniqueCount="38">
  <si>
    <t>Month</t>
  </si>
  <si>
    <t>Region</t>
  </si>
  <si>
    <t>Product</t>
  </si>
  <si>
    <t>Revenue</t>
  </si>
  <si>
    <t>Expenses</t>
  </si>
  <si>
    <t>Profit</t>
  </si>
  <si>
    <t>Units Sold</t>
  </si>
  <si>
    <t>New Customers</t>
  </si>
  <si>
    <t>Loan Disbursed</t>
  </si>
  <si>
    <t>Interest Earned</t>
  </si>
  <si>
    <t>Defaults</t>
  </si>
  <si>
    <t>Jan</t>
  </si>
  <si>
    <t>North</t>
  </si>
  <si>
    <t>Loan</t>
  </si>
  <si>
    <t>Credit Card</t>
  </si>
  <si>
    <t>-</t>
  </si>
  <si>
    <t>Insurance</t>
  </si>
  <si>
    <t>South</t>
  </si>
  <si>
    <t>East</t>
  </si>
  <si>
    <t>West</t>
  </si>
  <si>
    <t>Feb</t>
  </si>
  <si>
    <t>Mar</t>
  </si>
  <si>
    <t>Apr</t>
  </si>
  <si>
    <t>May</t>
  </si>
  <si>
    <t>Jun</t>
  </si>
  <si>
    <t>Jul</t>
  </si>
  <si>
    <t>Aug</t>
  </si>
  <si>
    <t>Sep</t>
  </si>
  <si>
    <t>Oct</t>
  </si>
  <si>
    <t>Nov</t>
  </si>
  <si>
    <t>Dec</t>
  </si>
  <si>
    <t>Row Labels</t>
  </si>
  <si>
    <t>Grand Total</t>
  </si>
  <si>
    <t>Sum of Revenue</t>
  </si>
  <si>
    <t>Sum of Profit</t>
  </si>
  <si>
    <t>Column Labels</t>
  </si>
  <si>
    <t>Sum of Expenses</t>
  </si>
  <si>
    <t>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</si>
</sst>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quot;₹&quot;\ #,##0"/>
  </numFmts>
  <fonts count="3" x14ac:knownFonts="1">
    <font>
      <sz val="11"/>
      <color theme="1"/>
      <name val="Calibri"/>
      <family val="2"/>
      <scheme val="minor"/>
    </font>
    <font>
      <b/>
      <sz val="11"/>
      <color theme="1"/>
      <name val="Calibri"/>
      <family val="2"/>
      <scheme val="minor"/>
    </font>
    <font>
      <b/>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pivotButton="1"/>
    <xf numFmtId="0" fontId="0" fillId="0" borderId="0" xfId="0" applyAlignment="1">
      <alignment horizontal="left"/>
    </xf>
    <xf numFmtId="0" fontId="0" fillId="0" borderId="0" xfId="0" applyNumberFormat="1"/>
    <xf numFmtId="169" fontId="0" fillId="0" borderId="0" xfId="0" applyNumberFormat="1"/>
    <xf numFmtId="169" fontId="2" fillId="0" borderId="0" xfId="0" applyNumberFormat="1" applyFont="1"/>
  </cellXfs>
  <cellStyles count="1">
    <cellStyle name="Normal" xfId="0" builtinId="0"/>
  </cellStyles>
  <dxfs count="0"/>
  <tableStyles count="0" defaultTableStyle="TableStyleMedium9" defaultPivotStyle="PivotStyleLight16"/>
  <colors>
    <mruColors>
      <color rgb="FFF2C0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[FinanceData.xlsx]Pivot tables!PivotTable3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month-wise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cked"/>
        <c:varyColors val="0"/>
        <c:ser>
          <c:idx val="0"/>
          <c:order val="0"/>
          <c:tx>
            <c:strRef>
              <c:f>'Pivot tables'!$J$1</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tables'!$I$2:$I$14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tables'!$J$2:$J$14</c:f>
              <c:numCache>
                <c:formatCode>General</c:formatCode>
                <c:ptCount val="12"/>
                <c:pt idx="0">
                  <c:v>1577473</c:v>
                </c:pt>
                <c:pt idx="1">
                  <c:v>1728997</c:v>
                </c:pt>
                <c:pt idx="2">
                  <c:v>1635545</c:v>
                </c:pt>
                <c:pt idx="3">
                  <c:v>1738660</c:v>
                </c:pt>
                <c:pt idx="4">
                  <c:v>1595107</c:v>
                </c:pt>
                <c:pt idx="5">
                  <c:v>1492881</c:v>
                </c:pt>
                <c:pt idx="6">
                  <c:v>1354447</c:v>
                </c:pt>
                <c:pt idx="7">
                  <c:v>1658390</c:v>
                </c:pt>
                <c:pt idx="8">
                  <c:v>1649914</c:v>
                </c:pt>
                <c:pt idx="9">
                  <c:v>1361289</c:v>
                </c:pt>
                <c:pt idx="10">
                  <c:v>1403228</c:v>
                </c:pt>
                <c:pt idx="11">
                  <c:v>1607450</c:v>
                </c:pt>
              </c:numCache>
            </c:numRef>
          </c:val>
          <c:smooth val="0"/>
          <c:extLst>
            <c:ext xmlns:c16="http://schemas.microsoft.com/office/drawing/2014/chart" uri="{C3380CC4-5D6E-409C-BE32-E72D297353CC}">
              <c16:uniqueId val="{00000000-CE6A-4F88-A57C-BBD1295CE2E8}"/>
            </c:ext>
          </c:extLst>
        </c:ser>
        <c:dLbls>
          <c:showLegendKey val="0"/>
          <c:showVal val="0"/>
          <c:showCatName val="0"/>
          <c:showSerName val="0"/>
          <c:showPercent val="0"/>
          <c:showBubbleSize val="0"/>
        </c:dLbls>
        <c:marker val="1"/>
        <c:smooth val="0"/>
        <c:axId val="411021824"/>
        <c:axId val="411024448"/>
      </c:lineChart>
      <c:catAx>
        <c:axId val="411021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24448"/>
        <c:crosses val="autoZero"/>
        <c:auto val="1"/>
        <c:lblAlgn val="ctr"/>
        <c:lblOffset val="100"/>
        <c:noMultiLvlLbl val="0"/>
      </c:catAx>
      <c:valAx>
        <c:axId val="41102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2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[FinanceData.xlsx]Pivot tables!PivotTable1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000" b="1">
                <a:solidFill>
                  <a:schemeClr val="tx1"/>
                </a:solidFill>
              </a:rPr>
              <a:t>Revenue</a:t>
            </a:r>
            <a:r>
              <a:rPr lang="en-US" sz="1000" b="1" baseline="0">
                <a:solidFill>
                  <a:schemeClr val="tx1"/>
                </a:solidFill>
              </a:rPr>
              <a:t> based on region</a:t>
            </a:r>
            <a:endParaRPr lang="en-US" sz="10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2">
                  <a:alpha val="0"/>
                </a:schemeClr>
              </a:gs>
              <a:gs pos="50000">
                <a:schemeClr val="accent2"/>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c:f>
              <c:strCache>
                <c:ptCount val="1"/>
                <c:pt idx="0">
                  <c:v>Total</c:v>
                </c:pt>
              </c:strCache>
            </c:strRef>
          </c:tx>
          <c:spPr>
            <a:gradFill>
              <a:gsLst>
                <a:gs pos="100000">
                  <a:schemeClr val="accent2">
                    <a:alpha val="0"/>
                  </a:schemeClr>
                </a:gs>
                <a:gs pos="50000">
                  <a:schemeClr val="accent2"/>
                </a:gs>
              </a:gsLst>
              <a:lin ang="5400000" scaled="0"/>
            </a:gradFill>
            <a:ln>
              <a:noFill/>
            </a:ln>
            <a:effectLst/>
            <a:sp3d/>
          </c:spPr>
          <c:invertIfNegative val="0"/>
          <c:cat>
            <c:strRef>
              <c:f>'Pivot tables'!$A$2:$A$6</c:f>
              <c:strCache>
                <c:ptCount val="4"/>
                <c:pt idx="0">
                  <c:v>East</c:v>
                </c:pt>
                <c:pt idx="1">
                  <c:v>North</c:v>
                </c:pt>
                <c:pt idx="2">
                  <c:v>South</c:v>
                </c:pt>
                <c:pt idx="3">
                  <c:v>West</c:v>
                </c:pt>
              </c:strCache>
            </c:strRef>
          </c:cat>
          <c:val>
            <c:numRef>
              <c:f>'Pivot tables'!$B$2:$B$6</c:f>
              <c:numCache>
                <c:formatCode>General</c:formatCode>
                <c:ptCount val="4"/>
                <c:pt idx="0">
                  <c:v>4752652</c:v>
                </c:pt>
                <c:pt idx="1">
                  <c:v>4673146</c:v>
                </c:pt>
                <c:pt idx="2">
                  <c:v>4667988</c:v>
                </c:pt>
                <c:pt idx="3">
                  <c:v>4709595</c:v>
                </c:pt>
              </c:numCache>
            </c:numRef>
          </c:val>
          <c:extLst>
            <c:ext xmlns:c16="http://schemas.microsoft.com/office/drawing/2014/chart" uri="{C3380CC4-5D6E-409C-BE32-E72D297353CC}">
              <c16:uniqueId val="{00000000-DAB7-4B81-A256-BFF60E8EDF17}"/>
            </c:ext>
          </c:extLst>
        </c:ser>
        <c:dLbls>
          <c:showLegendKey val="0"/>
          <c:showVal val="0"/>
          <c:showCatName val="0"/>
          <c:showSerName val="0"/>
          <c:showPercent val="0"/>
          <c:showBubbleSize val="0"/>
        </c:dLbls>
        <c:gapWidth val="150"/>
        <c:gapDepth val="0"/>
        <c:shape val="box"/>
        <c:axId val="766000088"/>
        <c:axId val="766003696"/>
        <c:axId val="0"/>
      </c:bar3DChart>
      <c:catAx>
        <c:axId val="766000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003696"/>
        <c:crosses val="autoZero"/>
        <c:auto val="1"/>
        <c:lblAlgn val="ctr"/>
        <c:lblOffset val="100"/>
        <c:noMultiLvlLbl val="0"/>
      </c:catAx>
      <c:valAx>
        <c:axId val="76600369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000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[FinanceData.xlsx]Pivot tables!PivotTable2</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200" b="1">
                <a:solidFill>
                  <a:schemeClr val="tx1"/>
                </a:solidFill>
              </a:rPr>
              <a:t>Product-wise</a:t>
            </a:r>
            <a:r>
              <a:rPr lang="en-US" sz="1200" b="1" baseline="0">
                <a:solidFill>
                  <a:schemeClr val="tx1"/>
                </a:solidFill>
              </a:rPr>
              <a:t> Revenue</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pivotFmt>
    </c:pivotFmts>
    <c:plotArea>
      <c:layout/>
      <c:barChart>
        <c:barDir val="col"/>
        <c:grouping val="stacked"/>
        <c:varyColors val="0"/>
        <c:ser>
          <c:idx val="0"/>
          <c:order val="0"/>
          <c:tx>
            <c:strRef>
              <c:f>'Pivot tables'!$B$12</c:f>
              <c:strCache>
                <c:ptCount val="1"/>
                <c:pt idx="0">
                  <c:v>Total</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cat>
            <c:strRef>
              <c:f>'Pivot tables'!$A$13:$A$16</c:f>
              <c:strCache>
                <c:ptCount val="3"/>
                <c:pt idx="0">
                  <c:v>Credit Card</c:v>
                </c:pt>
                <c:pt idx="1">
                  <c:v>Insurance</c:v>
                </c:pt>
                <c:pt idx="2">
                  <c:v>Loan</c:v>
                </c:pt>
              </c:strCache>
            </c:strRef>
          </c:cat>
          <c:val>
            <c:numRef>
              <c:f>'Pivot tables'!$B$13:$B$16</c:f>
              <c:numCache>
                <c:formatCode>General</c:formatCode>
                <c:ptCount val="3"/>
                <c:pt idx="0">
                  <c:v>5910353</c:v>
                </c:pt>
                <c:pt idx="1">
                  <c:v>6306779</c:v>
                </c:pt>
                <c:pt idx="2">
                  <c:v>6586249</c:v>
                </c:pt>
              </c:numCache>
            </c:numRef>
          </c:val>
          <c:extLst>
            <c:ext xmlns:c16="http://schemas.microsoft.com/office/drawing/2014/chart" uri="{C3380CC4-5D6E-409C-BE32-E72D297353CC}">
              <c16:uniqueId val="{00000000-BA84-444B-830A-C7ABEE3AB1A5}"/>
            </c:ext>
          </c:extLst>
        </c:ser>
        <c:dLbls>
          <c:showLegendKey val="0"/>
          <c:showVal val="0"/>
          <c:showCatName val="0"/>
          <c:showSerName val="0"/>
          <c:showPercent val="0"/>
          <c:showBubbleSize val="0"/>
        </c:dLbls>
        <c:gapWidth val="150"/>
        <c:overlap val="100"/>
        <c:axId val="847979696"/>
        <c:axId val="847981336"/>
      </c:barChart>
      <c:catAx>
        <c:axId val="84797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47981336"/>
        <c:crosses val="autoZero"/>
        <c:auto val="1"/>
        <c:lblAlgn val="ctr"/>
        <c:lblOffset val="100"/>
        <c:noMultiLvlLbl val="0"/>
      </c:catAx>
      <c:valAx>
        <c:axId val="847981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4797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[FinanceData.xlsx]Pivot tables!PivotTable4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100"/>
              <a:t>Monthly</a:t>
            </a:r>
            <a:r>
              <a:rPr lang="en-US" sz="1100" baseline="0"/>
              <a:t> Profit</a:t>
            </a:r>
            <a:endParaRPr lang="en-US" sz="1100"/>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pivotFmt>
    </c:pivotFmts>
    <c:plotArea>
      <c:layout/>
      <c:lineChart>
        <c:grouping val="standard"/>
        <c:varyColors val="0"/>
        <c:ser>
          <c:idx val="0"/>
          <c:order val="0"/>
          <c:tx>
            <c:strRef>
              <c:f>'Pivot tables'!$B$25</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'Pivot tables'!$A$26:$A$38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tables'!$B$26:$B$38</c:f>
              <c:numCache>
                <c:formatCode>General</c:formatCode>
                <c:ptCount val="12"/>
                <c:pt idx="0">
                  <c:v>587808</c:v>
                </c:pt>
                <c:pt idx="1">
                  <c:v>826308</c:v>
                </c:pt>
                <c:pt idx="2">
                  <c:v>853620</c:v>
                </c:pt>
                <c:pt idx="3">
                  <c:v>903326</c:v>
                </c:pt>
                <c:pt idx="4">
                  <c:v>600296</c:v>
                </c:pt>
                <c:pt idx="5">
                  <c:v>503724</c:v>
                </c:pt>
                <c:pt idx="6">
                  <c:v>532844</c:v>
                </c:pt>
                <c:pt idx="7">
                  <c:v>975053</c:v>
                </c:pt>
                <c:pt idx="8">
                  <c:v>855527</c:v>
                </c:pt>
                <c:pt idx="9">
                  <c:v>457403</c:v>
                </c:pt>
                <c:pt idx="10">
                  <c:v>405634</c:v>
                </c:pt>
                <c:pt idx="11">
                  <c:v>711849</c:v>
                </c:pt>
              </c:numCache>
            </c:numRef>
          </c:val>
          <c:smooth val="0"/>
          <c:extLst>
            <c:ext xmlns:c16="http://schemas.microsoft.com/office/drawing/2014/chart" uri="{C3380CC4-5D6E-409C-BE32-E72D297353CC}">
              <c16:uniqueId val="{00000000-A3FA-4D8F-BDBC-F6A6E7032B2E}"/>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47998392"/>
        <c:axId val="847992160"/>
      </c:lineChart>
      <c:catAx>
        <c:axId val="84799839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47992160"/>
        <c:crosses val="autoZero"/>
        <c:auto val="1"/>
        <c:lblAlgn val="ctr"/>
        <c:lblOffset val="100"/>
        <c:noMultiLvlLbl val="0"/>
      </c:catAx>
      <c:valAx>
        <c:axId val="847992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47998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[FinanceData.xlsx]Pivot tables!PivotTable5</c:name>
    <c:fmtId val="0"/>
  </c:pivotSource>
  <c:chart>
    <c:autoTitleDeleted val="0"/>
    <c:pivotFmts>
      <c:pivotFmt>
        <c:idx val="0"/>
        <c:spPr>
          <a:ln w="28575" cap="rnd">
            <a:solidFill>
              <a:schemeClr val="accent2"/>
            </a:solidFill>
            <a:round/>
          </a:ln>
          <a:effectLst/>
        </c:spPr>
        <c:marker>
          <c:symbol val="circle"/>
          <c:size val="5"/>
          <c:spPr>
            <a:solidFill>
              <a:schemeClr val="accent2">
                <a:shade val="58000"/>
              </a:schemeClr>
            </a:solidFill>
            <a:ln w="9525">
              <a:solidFill>
                <a:schemeClr val="accent2">
                  <a:shade val="58000"/>
                </a:schemeClr>
              </a:solidFill>
            </a:ln>
            <a:effectLst/>
          </c:spPr>
        </c:marker>
      </c:pivotFmt>
      <c:pivotFmt>
        <c:idx val="1"/>
        <c:spPr>
          <a:ln w="28575" cap="rnd">
            <a:solidFill>
              <a:schemeClr val="accent2"/>
            </a:solidFill>
            <a:round/>
          </a:ln>
          <a:effectLst/>
        </c:spPr>
        <c:marker>
          <c:symbol val="circle"/>
          <c:size val="5"/>
          <c:spPr>
            <a:solidFill>
              <a:schemeClr val="accent2">
                <a:shade val="86000"/>
              </a:schemeClr>
            </a:solidFill>
            <a:ln w="9525">
              <a:solidFill>
                <a:schemeClr val="accent2">
                  <a:shade val="86000"/>
                </a:schemeClr>
              </a:solidFill>
            </a:ln>
            <a:effectLst/>
          </c:spPr>
        </c:marker>
      </c:pivotFmt>
      <c:pivotFmt>
        <c:idx val="2"/>
        <c:spPr>
          <a:ln w="28575" cap="rnd">
            <a:solidFill>
              <a:schemeClr val="accent2"/>
            </a:solidFill>
            <a:round/>
          </a:ln>
          <a:effectLst/>
        </c:spPr>
        <c:marker>
          <c:symbol val="circle"/>
          <c:size val="5"/>
          <c:spPr>
            <a:solidFill>
              <a:schemeClr val="accent2">
                <a:tint val="86000"/>
              </a:schemeClr>
            </a:solidFill>
            <a:ln w="9525">
              <a:solidFill>
                <a:schemeClr val="accent2">
                  <a:tint val="86000"/>
                </a:schemeClr>
              </a:solidFill>
            </a:ln>
            <a:effectLst/>
          </c:spPr>
        </c:marker>
      </c:pivotFmt>
      <c:pivotFmt>
        <c:idx val="3"/>
        <c:spPr>
          <a:ln w="28575" cap="rnd">
            <a:solidFill>
              <a:schemeClr val="accent2"/>
            </a:solidFill>
            <a:round/>
          </a:ln>
          <a:effectLst/>
        </c:spPr>
        <c:marker>
          <c:symbol val="circle"/>
          <c:size val="5"/>
          <c:spPr>
            <a:solidFill>
              <a:schemeClr val="accent2">
                <a:tint val="58000"/>
              </a:schemeClr>
            </a:solidFill>
            <a:ln w="9525">
              <a:solidFill>
                <a:schemeClr val="accent2">
                  <a:tint val="58000"/>
                </a:schemeClr>
              </a:solidFill>
            </a:ln>
            <a:effectLst/>
          </c:spPr>
        </c:marker>
      </c:pivotFmt>
    </c:pivotFmts>
    <c:plotArea>
      <c:layout/>
      <c:lineChart>
        <c:grouping val="stacked"/>
        <c:varyColors val="0"/>
        <c:ser>
          <c:idx val="0"/>
          <c:order val="0"/>
          <c:tx>
            <c:strRef>
              <c:f>'Pivot tables'!$J$17:$J$18</c:f>
              <c:strCache>
                <c:ptCount val="1"/>
                <c:pt idx="0">
                  <c:v>East</c:v>
                </c:pt>
              </c:strCache>
            </c:strRef>
          </c:tx>
          <c:spPr>
            <a:ln w="28575" cap="rnd">
              <a:solidFill>
                <a:schemeClr val="accent2">
                  <a:shade val="58000"/>
                </a:schemeClr>
              </a:solidFill>
              <a:round/>
            </a:ln>
            <a:effectLst/>
          </c:spPr>
          <c:marker>
            <c:symbol val="circle"/>
            <c:size val="5"/>
            <c:spPr>
              <a:solidFill>
                <a:schemeClr val="accent2">
                  <a:shade val="58000"/>
                </a:schemeClr>
              </a:solidFill>
              <a:ln w="9525">
                <a:solidFill>
                  <a:schemeClr val="accent2">
                    <a:shade val="58000"/>
                  </a:schemeClr>
                </a:solidFill>
              </a:ln>
              <a:effectLst/>
            </c:spPr>
          </c:marker>
          <c:cat>
            <c:strRef>
              <c:f>'Pivot tables'!$I$19:$I$31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tables'!$J$19:$J$31</c:f>
              <c:numCache>
                <c:formatCode>General</c:formatCode>
                <c:ptCount val="12"/>
                <c:pt idx="0">
                  <c:v>357693</c:v>
                </c:pt>
                <c:pt idx="1">
                  <c:v>447993</c:v>
                </c:pt>
                <c:pt idx="2">
                  <c:v>513150</c:v>
                </c:pt>
                <c:pt idx="3">
                  <c:v>439355</c:v>
                </c:pt>
                <c:pt idx="4">
                  <c:v>305226</c:v>
                </c:pt>
                <c:pt idx="5">
                  <c:v>471040</c:v>
                </c:pt>
                <c:pt idx="6">
                  <c:v>320910</c:v>
                </c:pt>
                <c:pt idx="7">
                  <c:v>361178</c:v>
                </c:pt>
                <c:pt idx="8">
                  <c:v>384788</c:v>
                </c:pt>
                <c:pt idx="9">
                  <c:v>351849</c:v>
                </c:pt>
                <c:pt idx="10">
                  <c:v>385940</c:v>
                </c:pt>
                <c:pt idx="11">
                  <c:v>413530</c:v>
                </c:pt>
              </c:numCache>
            </c:numRef>
          </c:val>
          <c:smooth val="0"/>
          <c:extLst>
            <c:ext xmlns:c16="http://schemas.microsoft.com/office/drawing/2014/chart" uri="{C3380CC4-5D6E-409C-BE32-E72D297353CC}">
              <c16:uniqueId val="{00000000-3254-446E-B8FD-26E0ABEA8152}"/>
            </c:ext>
          </c:extLst>
        </c:ser>
        <c:ser>
          <c:idx val="1"/>
          <c:order val="1"/>
          <c:tx>
            <c:strRef>
              <c:f>'Pivot tables'!$K$17:$K$18</c:f>
              <c:strCache>
                <c:ptCount val="1"/>
                <c:pt idx="0">
                  <c:v>North</c:v>
                </c:pt>
              </c:strCache>
            </c:strRef>
          </c:tx>
          <c:spPr>
            <a:ln w="28575" cap="rnd">
              <a:solidFill>
                <a:schemeClr val="accent2">
                  <a:shade val="86000"/>
                </a:schemeClr>
              </a:solidFill>
              <a:round/>
            </a:ln>
            <a:effectLst/>
          </c:spPr>
          <c:marker>
            <c:symbol val="circle"/>
            <c:size val="5"/>
            <c:spPr>
              <a:solidFill>
                <a:schemeClr val="accent2">
                  <a:shade val="86000"/>
                </a:schemeClr>
              </a:solidFill>
              <a:ln w="9525">
                <a:solidFill>
                  <a:schemeClr val="accent2">
                    <a:shade val="86000"/>
                  </a:schemeClr>
                </a:solidFill>
              </a:ln>
              <a:effectLst/>
            </c:spPr>
          </c:marker>
          <c:cat>
            <c:strRef>
              <c:f>'Pivot tables'!$I$19:$I$31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tables'!$K$19:$K$31</c:f>
              <c:numCache>
                <c:formatCode>General</c:formatCode>
                <c:ptCount val="12"/>
                <c:pt idx="0">
                  <c:v>450809</c:v>
                </c:pt>
                <c:pt idx="1">
                  <c:v>349477</c:v>
                </c:pt>
                <c:pt idx="2">
                  <c:v>340557</c:v>
                </c:pt>
                <c:pt idx="3">
                  <c:v>423210</c:v>
                </c:pt>
                <c:pt idx="4">
                  <c:v>560829</c:v>
                </c:pt>
                <c:pt idx="5">
                  <c:v>294320</c:v>
                </c:pt>
                <c:pt idx="6">
                  <c:v>287289</c:v>
                </c:pt>
                <c:pt idx="7">
                  <c:v>402195</c:v>
                </c:pt>
                <c:pt idx="8">
                  <c:v>466698</c:v>
                </c:pt>
                <c:pt idx="9">
                  <c:v>427954</c:v>
                </c:pt>
                <c:pt idx="10">
                  <c:v>328897</c:v>
                </c:pt>
                <c:pt idx="11">
                  <c:v>340911</c:v>
                </c:pt>
              </c:numCache>
            </c:numRef>
          </c:val>
          <c:smooth val="0"/>
          <c:extLst>
            <c:ext xmlns:c16="http://schemas.microsoft.com/office/drawing/2014/chart" uri="{C3380CC4-5D6E-409C-BE32-E72D297353CC}">
              <c16:uniqueId val="{0000000C-3254-446E-B8FD-26E0ABEA8152}"/>
            </c:ext>
          </c:extLst>
        </c:ser>
        <c:ser>
          <c:idx val="2"/>
          <c:order val="2"/>
          <c:tx>
            <c:strRef>
              <c:f>'Pivot tables'!$L$17:$L$18</c:f>
              <c:strCache>
                <c:ptCount val="1"/>
                <c:pt idx="0">
                  <c:v>South</c:v>
                </c:pt>
              </c:strCache>
            </c:strRef>
          </c:tx>
          <c:spPr>
            <a:ln w="28575" cap="rnd">
              <a:solidFill>
                <a:schemeClr val="accent2">
                  <a:tint val="86000"/>
                </a:schemeClr>
              </a:solidFill>
              <a:round/>
            </a:ln>
            <a:effectLst/>
          </c:spPr>
          <c:marker>
            <c:symbol val="circle"/>
            <c:size val="5"/>
            <c:spPr>
              <a:solidFill>
                <a:schemeClr val="accent2">
                  <a:tint val="86000"/>
                </a:schemeClr>
              </a:solidFill>
              <a:ln w="9525">
                <a:solidFill>
                  <a:schemeClr val="accent2">
                    <a:tint val="86000"/>
                  </a:schemeClr>
                </a:solidFill>
              </a:ln>
              <a:effectLst/>
            </c:spPr>
          </c:marker>
          <c:cat>
            <c:strRef>
              <c:f>'Pivot tables'!$I$19:$I$31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tables'!$L$19:$L$31</c:f>
              <c:numCache>
                <c:formatCode>General</c:formatCode>
                <c:ptCount val="12"/>
                <c:pt idx="0">
                  <c:v>363819</c:v>
                </c:pt>
                <c:pt idx="1">
                  <c:v>556767</c:v>
                </c:pt>
                <c:pt idx="2">
                  <c:v>367543</c:v>
                </c:pt>
                <c:pt idx="3">
                  <c:v>471669</c:v>
                </c:pt>
                <c:pt idx="4">
                  <c:v>285182</c:v>
                </c:pt>
                <c:pt idx="5">
                  <c:v>323145</c:v>
                </c:pt>
                <c:pt idx="6">
                  <c:v>410945</c:v>
                </c:pt>
                <c:pt idx="7">
                  <c:v>450756</c:v>
                </c:pt>
                <c:pt idx="8">
                  <c:v>393345</c:v>
                </c:pt>
                <c:pt idx="9">
                  <c:v>262451</c:v>
                </c:pt>
                <c:pt idx="10">
                  <c:v>318442</c:v>
                </c:pt>
                <c:pt idx="11">
                  <c:v>463924</c:v>
                </c:pt>
              </c:numCache>
            </c:numRef>
          </c:val>
          <c:smooth val="0"/>
          <c:extLst>
            <c:ext xmlns:c16="http://schemas.microsoft.com/office/drawing/2014/chart" uri="{C3380CC4-5D6E-409C-BE32-E72D297353CC}">
              <c16:uniqueId val="{0000000D-3254-446E-B8FD-26E0ABEA8152}"/>
            </c:ext>
          </c:extLst>
        </c:ser>
        <c:ser>
          <c:idx val="3"/>
          <c:order val="3"/>
          <c:tx>
            <c:strRef>
              <c:f>'Pivot tables'!$M$17:$M$18</c:f>
              <c:strCache>
                <c:ptCount val="1"/>
                <c:pt idx="0">
                  <c:v>West</c:v>
                </c:pt>
              </c:strCache>
            </c:strRef>
          </c:tx>
          <c:spPr>
            <a:ln w="28575" cap="rnd">
              <a:solidFill>
                <a:schemeClr val="accent2">
                  <a:tint val="58000"/>
                </a:schemeClr>
              </a:solidFill>
              <a:round/>
            </a:ln>
            <a:effectLst/>
          </c:spPr>
          <c:marker>
            <c:symbol val="circle"/>
            <c:size val="5"/>
            <c:spPr>
              <a:solidFill>
                <a:schemeClr val="accent2">
                  <a:tint val="58000"/>
                </a:schemeClr>
              </a:solidFill>
              <a:ln w="9525">
                <a:solidFill>
                  <a:schemeClr val="accent2">
                    <a:tint val="58000"/>
                  </a:schemeClr>
                </a:solidFill>
              </a:ln>
              <a:effectLst/>
            </c:spPr>
          </c:marker>
          <c:cat>
            <c:strRef>
              <c:f>'Pivot tables'!$I$19:$I$31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tables'!$M$19:$M$31</c:f>
              <c:numCache>
                <c:formatCode>General</c:formatCode>
                <c:ptCount val="12"/>
                <c:pt idx="0">
                  <c:v>405152</c:v>
                </c:pt>
                <c:pt idx="1">
                  <c:v>374760</c:v>
                </c:pt>
                <c:pt idx="2">
                  <c:v>414295</c:v>
                </c:pt>
                <c:pt idx="3">
                  <c:v>404426</c:v>
                </c:pt>
                <c:pt idx="4">
                  <c:v>443870</c:v>
                </c:pt>
                <c:pt idx="5">
                  <c:v>404376</c:v>
                </c:pt>
                <c:pt idx="6">
                  <c:v>335303</c:v>
                </c:pt>
                <c:pt idx="7">
                  <c:v>444261</c:v>
                </c:pt>
                <c:pt idx="8">
                  <c:v>405083</c:v>
                </c:pt>
                <c:pt idx="9">
                  <c:v>319035</c:v>
                </c:pt>
                <c:pt idx="10">
                  <c:v>369949</c:v>
                </c:pt>
                <c:pt idx="11">
                  <c:v>389085</c:v>
                </c:pt>
              </c:numCache>
            </c:numRef>
          </c:val>
          <c:smooth val="0"/>
          <c:extLst>
            <c:ext xmlns:c16="http://schemas.microsoft.com/office/drawing/2014/chart" uri="{C3380CC4-5D6E-409C-BE32-E72D297353CC}">
              <c16:uniqueId val="{0000000E-3254-446E-B8FD-26E0ABEA8152}"/>
            </c:ext>
          </c:extLst>
        </c:ser>
        <c:dLbls>
          <c:showLegendKey val="0"/>
          <c:showVal val="0"/>
          <c:showCatName val="0"/>
          <c:showSerName val="0"/>
          <c:showPercent val="0"/>
          <c:showBubbleSize val="0"/>
        </c:dLbls>
        <c:marker val="1"/>
        <c:smooth val="0"/>
        <c:axId val="843307072"/>
        <c:axId val="843308712"/>
      </c:lineChart>
      <c:catAx>
        <c:axId val="84330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308712"/>
        <c:crosses val="autoZero"/>
        <c:auto val="1"/>
        <c:lblAlgn val="ctr"/>
        <c:lblOffset val="100"/>
        <c:noMultiLvlLbl val="0"/>
      </c:catAx>
      <c:valAx>
        <c:axId val="843308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30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[FinanceData.xlsx]Pivot tables!PivotTable7</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Expenses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a:sp3d/>
        </c:spPr>
        <c:marker>
          <c:symbol val="circle"/>
          <c:size val="8"/>
          <c:spPr>
            <a:solidFill>
              <a:schemeClr val="accent2"/>
            </a:solidFill>
            <a:ln>
              <a:noFill/>
            </a:ln>
            <a:effectLst/>
          </c:spPr>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tables'!$B$42</c:f>
              <c:strCache>
                <c:ptCount val="1"/>
                <c:pt idx="0">
                  <c:v>Total</c:v>
                </c:pt>
              </c:strCache>
            </c:strRef>
          </c:tx>
          <c:spPr>
            <a:solidFill>
              <a:schemeClr val="accent2"/>
            </a:solidFill>
            <a:ln>
              <a:noFill/>
            </a:ln>
            <a:effectLst/>
            <a:sp3d/>
          </c:spPr>
          <c:invertIfNegative val="0"/>
          <c:cat>
            <c:strRef>
              <c:f>'Pivot tables'!$A$43:$A$46</c:f>
              <c:strCache>
                <c:ptCount val="3"/>
                <c:pt idx="0">
                  <c:v>Credit Card</c:v>
                </c:pt>
                <c:pt idx="1">
                  <c:v>Insurance</c:v>
                </c:pt>
                <c:pt idx="2">
                  <c:v>Loan</c:v>
                </c:pt>
              </c:strCache>
            </c:strRef>
          </c:cat>
          <c:val>
            <c:numRef>
              <c:f>'Pivot tables'!$B$43:$B$46</c:f>
              <c:numCache>
                <c:formatCode>General</c:formatCode>
                <c:ptCount val="3"/>
                <c:pt idx="0">
                  <c:v>3255052</c:v>
                </c:pt>
                <c:pt idx="1">
                  <c:v>3805224</c:v>
                </c:pt>
                <c:pt idx="2">
                  <c:v>3529713</c:v>
                </c:pt>
              </c:numCache>
            </c:numRef>
          </c:val>
          <c:extLst>
            <c:ext xmlns:c16="http://schemas.microsoft.com/office/drawing/2014/chart" uri="{C3380CC4-5D6E-409C-BE32-E72D297353CC}">
              <c16:uniqueId val="{00000000-52DC-47F9-9D99-675476B961C9}"/>
            </c:ext>
          </c:extLst>
        </c:ser>
        <c:dLbls>
          <c:showLegendKey val="0"/>
          <c:showVal val="0"/>
          <c:showCatName val="0"/>
          <c:showSerName val="0"/>
          <c:showPercent val="0"/>
          <c:showBubbleSize val="0"/>
        </c:dLbls>
        <c:gapWidth val="150"/>
        <c:shape val="box"/>
        <c:axId val="927821656"/>
        <c:axId val="927826904"/>
        <c:axId val="0"/>
      </c:bar3DChart>
      <c:catAx>
        <c:axId val="927821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27826904"/>
        <c:crosses val="autoZero"/>
        <c:auto val="1"/>
        <c:lblAlgn val="ctr"/>
        <c:lblOffset val="100"/>
        <c:noMultiLvlLbl val="0"/>
      </c:catAx>
      <c:valAx>
        <c:axId val="92782690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821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[FinanceData.xlsx]Pivot tables!PivotTable1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000" b="1">
                <a:solidFill>
                  <a:schemeClr val="tx1"/>
                </a:solidFill>
              </a:rPr>
              <a:t>Revenue</a:t>
            </a:r>
            <a:r>
              <a:rPr lang="en-US" sz="1000" b="1" baseline="0">
                <a:solidFill>
                  <a:schemeClr val="tx1"/>
                </a:solidFill>
              </a:rPr>
              <a:t> based on region</a:t>
            </a:r>
            <a:endParaRPr lang="en-US" sz="10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2">
                  <a:alpha val="0"/>
                </a:schemeClr>
              </a:gs>
              <a:gs pos="50000">
                <a:schemeClr val="accent2"/>
              </a:gs>
            </a:gsLst>
            <a:lin ang="5400000" scaled="0"/>
          </a:gradFill>
          <a:ln>
            <a:noFill/>
          </a:ln>
          <a:effectLst/>
          <a:sp3d/>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pivotFmt>
      <c:pivotFmt>
        <c:idx val="1"/>
        <c:spPr>
          <a:gradFill flip="none" rotWithShape="1">
            <a:gsLst>
              <a:gs pos="100000">
                <a:schemeClr val="accent2">
                  <a:alpha val="0"/>
                </a:schemeClr>
              </a:gs>
              <a:gs pos="50000">
                <a:schemeClr val="accent2"/>
              </a:gs>
            </a:gsLst>
            <a:lin ang="5400000" scaled="0"/>
          </a:gradFill>
          <a:ln>
            <a:noFill/>
          </a:ln>
          <a:effectLst/>
          <a:sp3d/>
        </c:spPr>
        <c:marker>
          <c:symbol val="none"/>
        </c:marker>
      </c:pivotFmt>
      <c:pivotFmt>
        <c:idx val="2"/>
        <c:spPr>
          <a:gradFill>
            <a:gsLst>
              <a:gs pos="100000">
                <a:schemeClr val="accent2">
                  <a:alpha val="0"/>
                </a:schemeClr>
              </a:gs>
              <a:gs pos="50000">
                <a:schemeClr val="accent2"/>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c:f>
              <c:strCache>
                <c:ptCount val="1"/>
                <c:pt idx="0">
                  <c:v>Total</c:v>
                </c:pt>
              </c:strCache>
            </c:strRef>
          </c:tx>
          <c:spPr>
            <a:gradFill>
              <a:gsLst>
                <a:gs pos="100000">
                  <a:schemeClr val="accent2">
                    <a:alpha val="0"/>
                  </a:schemeClr>
                </a:gs>
                <a:gs pos="50000">
                  <a:schemeClr val="accent2"/>
                </a:gs>
              </a:gsLst>
              <a:lin ang="5400000" scaled="0"/>
            </a:gradFill>
            <a:ln>
              <a:noFill/>
            </a:ln>
            <a:effectLst/>
            <a:sp3d/>
          </c:spPr>
          <c:invertIfNegative val="0"/>
          <c:cat>
            <c:strRef>
              <c:f>'Pivot tables'!$A$2:$A$6</c:f>
              <c:strCache>
                <c:ptCount val="4"/>
                <c:pt idx="0">
                  <c:v>East</c:v>
                </c:pt>
                <c:pt idx="1">
                  <c:v>North</c:v>
                </c:pt>
                <c:pt idx="2">
                  <c:v>South</c:v>
                </c:pt>
                <c:pt idx="3">
                  <c:v>West</c:v>
                </c:pt>
              </c:strCache>
            </c:strRef>
          </c:cat>
          <c:val>
            <c:numRef>
              <c:f>'Pivot tables'!$B$2:$B$6</c:f>
              <c:numCache>
                <c:formatCode>General</c:formatCode>
                <c:ptCount val="4"/>
                <c:pt idx="0">
                  <c:v>4752652</c:v>
                </c:pt>
                <c:pt idx="1">
                  <c:v>4673146</c:v>
                </c:pt>
                <c:pt idx="2">
                  <c:v>4667988</c:v>
                </c:pt>
                <c:pt idx="3">
                  <c:v>4709595</c:v>
                </c:pt>
              </c:numCache>
            </c:numRef>
          </c:val>
          <c:extLst>
            <c:ext xmlns:c16="http://schemas.microsoft.com/office/drawing/2014/chart" uri="{C3380CC4-5D6E-409C-BE32-E72D297353CC}">
              <c16:uniqueId val="{00000000-78CF-492A-8514-A17D1F60DD1C}"/>
            </c:ext>
          </c:extLst>
        </c:ser>
        <c:dLbls>
          <c:showLegendKey val="0"/>
          <c:showVal val="0"/>
          <c:showCatName val="0"/>
          <c:showSerName val="0"/>
          <c:showPercent val="0"/>
          <c:showBubbleSize val="0"/>
        </c:dLbls>
        <c:gapWidth val="150"/>
        <c:gapDepth val="0"/>
        <c:shape val="box"/>
        <c:axId val="766000088"/>
        <c:axId val="766003696"/>
        <c:axId val="0"/>
      </c:bar3DChart>
      <c:catAx>
        <c:axId val="766000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003696"/>
        <c:crosses val="autoZero"/>
        <c:auto val="1"/>
        <c:lblAlgn val="ctr"/>
        <c:lblOffset val="100"/>
        <c:noMultiLvlLbl val="0"/>
      </c:catAx>
      <c:valAx>
        <c:axId val="766003696"/>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000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[FinanceData.xlsx]Pivot tables!PivotTable3</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month-wise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34925" cap="rnd">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cked"/>
        <c:varyColors val="0"/>
        <c:ser>
          <c:idx val="0"/>
          <c:order val="0"/>
          <c:tx>
            <c:strRef>
              <c:f>'Pivot tables'!$J$1</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tables'!$I$2:$I$14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tables'!$J$2:$J$14</c:f>
              <c:numCache>
                <c:formatCode>General</c:formatCode>
                <c:ptCount val="12"/>
                <c:pt idx="0">
                  <c:v>1577473</c:v>
                </c:pt>
                <c:pt idx="1">
                  <c:v>1728997</c:v>
                </c:pt>
                <c:pt idx="2">
                  <c:v>1635545</c:v>
                </c:pt>
                <c:pt idx="3">
                  <c:v>1738660</c:v>
                </c:pt>
                <c:pt idx="4">
                  <c:v>1595107</c:v>
                </c:pt>
                <c:pt idx="5">
                  <c:v>1492881</c:v>
                </c:pt>
                <c:pt idx="6">
                  <c:v>1354447</c:v>
                </c:pt>
                <c:pt idx="7">
                  <c:v>1658390</c:v>
                </c:pt>
                <c:pt idx="8">
                  <c:v>1649914</c:v>
                </c:pt>
                <c:pt idx="9">
                  <c:v>1361289</c:v>
                </c:pt>
                <c:pt idx="10">
                  <c:v>1403228</c:v>
                </c:pt>
                <c:pt idx="11">
                  <c:v>1607450</c:v>
                </c:pt>
              </c:numCache>
            </c:numRef>
          </c:val>
          <c:smooth val="0"/>
          <c:extLst>
            <c:ext xmlns:c16="http://schemas.microsoft.com/office/drawing/2014/chart" uri="{C3380CC4-5D6E-409C-BE32-E72D297353CC}">
              <c16:uniqueId val="{00000000-3AF3-47B9-B2EE-EF958371A4EE}"/>
            </c:ext>
          </c:extLst>
        </c:ser>
        <c:dLbls>
          <c:showLegendKey val="0"/>
          <c:showVal val="0"/>
          <c:showCatName val="0"/>
          <c:showSerName val="0"/>
          <c:showPercent val="0"/>
          <c:showBubbleSize val="0"/>
        </c:dLbls>
        <c:marker val="1"/>
        <c:smooth val="0"/>
        <c:axId val="411021824"/>
        <c:axId val="411024448"/>
      </c:lineChart>
      <c:catAx>
        <c:axId val="411021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24448"/>
        <c:crosses val="autoZero"/>
        <c:auto val="1"/>
        <c:lblAlgn val="ctr"/>
        <c:lblOffset val="100"/>
        <c:noMultiLvlLbl val="0"/>
      </c:catAx>
      <c:valAx>
        <c:axId val="41102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21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[FinanceData.xlsx]Pivot tables!PivotTable2</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200" b="1">
                <a:solidFill>
                  <a:schemeClr val="tx1"/>
                </a:solidFill>
              </a:rPr>
              <a:t>Product-wise</a:t>
            </a:r>
            <a:r>
              <a:rPr lang="en-US" sz="1200" b="1" baseline="0">
                <a:solidFill>
                  <a:schemeClr val="tx1"/>
                </a:solidFill>
              </a:rPr>
              <a:t> Revenue</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pivotFmt>
      <c:pivotFmt>
        <c:idx val="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none"/>
        </c:marker>
      </c:pivotFmt>
      <c:pivotFmt>
        <c:idx val="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none"/>
        </c:marker>
      </c:pivotFmt>
    </c:pivotFmts>
    <c:plotArea>
      <c:layout/>
      <c:barChart>
        <c:barDir val="col"/>
        <c:grouping val="stacked"/>
        <c:varyColors val="0"/>
        <c:ser>
          <c:idx val="0"/>
          <c:order val="0"/>
          <c:tx>
            <c:strRef>
              <c:f>'Pivot tables'!$B$12</c:f>
              <c:strCache>
                <c:ptCount val="1"/>
                <c:pt idx="0">
                  <c:v>Total</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invertIfNegative val="0"/>
          <c:cat>
            <c:strRef>
              <c:f>'Pivot tables'!$A$13:$A$16</c:f>
              <c:strCache>
                <c:ptCount val="3"/>
                <c:pt idx="0">
                  <c:v>Credit Card</c:v>
                </c:pt>
                <c:pt idx="1">
                  <c:v>Insurance</c:v>
                </c:pt>
                <c:pt idx="2">
                  <c:v>Loan</c:v>
                </c:pt>
              </c:strCache>
            </c:strRef>
          </c:cat>
          <c:val>
            <c:numRef>
              <c:f>'Pivot tables'!$B$13:$B$16</c:f>
              <c:numCache>
                <c:formatCode>General</c:formatCode>
                <c:ptCount val="3"/>
                <c:pt idx="0">
                  <c:v>5910353</c:v>
                </c:pt>
                <c:pt idx="1">
                  <c:v>6306779</c:v>
                </c:pt>
                <c:pt idx="2">
                  <c:v>6586249</c:v>
                </c:pt>
              </c:numCache>
            </c:numRef>
          </c:val>
          <c:extLst>
            <c:ext xmlns:c16="http://schemas.microsoft.com/office/drawing/2014/chart" uri="{C3380CC4-5D6E-409C-BE32-E72D297353CC}">
              <c16:uniqueId val="{00000000-04BD-4F5F-8F9C-A7A58B1343EC}"/>
            </c:ext>
          </c:extLst>
        </c:ser>
        <c:dLbls>
          <c:showLegendKey val="0"/>
          <c:showVal val="0"/>
          <c:showCatName val="0"/>
          <c:showSerName val="0"/>
          <c:showPercent val="0"/>
          <c:showBubbleSize val="0"/>
        </c:dLbls>
        <c:gapWidth val="150"/>
        <c:overlap val="100"/>
        <c:axId val="847979696"/>
        <c:axId val="847981336"/>
      </c:barChart>
      <c:catAx>
        <c:axId val="84797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47981336"/>
        <c:crosses val="autoZero"/>
        <c:auto val="1"/>
        <c:lblAlgn val="ctr"/>
        <c:lblOffset val="100"/>
        <c:noMultiLvlLbl val="0"/>
      </c:catAx>
      <c:valAx>
        <c:axId val="847981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4797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[FinanceData.xlsx]Pivot tables!PivotTable4</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100"/>
              <a:t>Monthly</a:t>
            </a:r>
            <a:r>
              <a:rPr lang="en-US" sz="1100" baseline="0"/>
              <a:t> Profit</a:t>
            </a:r>
            <a:endParaRPr lang="en-US" sz="1100"/>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2"/>
            </a:fgClr>
            <a:bgClr>
              <a:schemeClr val="lt1"/>
            </a:bgClr>
          </a:pattFill>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pivotFmt>
      <c:pivotFmt>
        <c:idx val="1"/>
        <c:spPr>
          <a:pattFill prst="ltUpDiag">
            <a:fgClr>
              <a:schemeClr val="accent2"/>
            </a:fgClr>
            <a:bgClr>
              <a:schemeClr val="lt1"/>
            </a:bgClr>
          </a:pattFill>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pivotFmt>
      <c:pivotFmt>
        <c:idx val="2"/>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pivotFmt>
    </c:pivotFmts>
    <c:plotArea>
      <c:layout/>
      <c:lineChart>
        <c:grouping val="standard"/>
        <c:varyColors val="0"/>
        <c:ser>
          <c:idx val="0"/>
          <c:order val="0"/>
          <c:tx>
            <c:strRef>
              <c:f>'Pivot tables'!$B$25</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'Pivot tables'!$A$26:$A$38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tables'!$B$26:$B$38</c:f>
              <c:numCache>
                <c:formatCode>General</c:formatCode>
                <c:ptCount val="12"/>
                <c:pt idx="0">
                  <c:v>587808</c:v>
                </c:pt>
                <c:pt idx="1">
                  <c:v>826308</c:v>
                </c:pt>
                <c:pt idx="2">
                  <c:v>853620</c:v>
                </c:pt>
                <c:pt idx="3">
                  <c:v>903326</c:v>
                </c:pt>
                <c:pt idx="4">
                  <c:v>600296</c:v>
                </c:pt>
                <c:pt idx="5">
                  <c:v>503724</c:v>
                </c:pt>
                <c:pt idx="6">
                  <c:v>532844</c:v>
                </c:pt>
                <c:pt idx="7">
                  <c:v>975053</c:v>
                </c:pt>
                <c:pt idx="8">
                  <c:v>855527</c:v>
                </c:pt>
                <c:pt idx="9">
                  <c:v>457403</c:v>
                </c:pt>
                <c:pt idx="10">
                  <c:v>405634</c:v>
                </c:pt>
                <c:pt idx="11">
                  <c:v>711849</c:v>
                </c:pt>
              </c:numCache>
            </c:numRef>
          </c:val>
          <c:smooth val="0"/>
          <c:extLst>
            <c:ext xmlns:c16="http://schemas.microsoft.com/office/drawing/2014/chart" uri="{C3380CC4-5D6E-409C-BE32-E72D297353CC}">
              <c16:uniqueId val="{00000000-C9C5-4534-B6AC-263D6116644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847998392"/>
        <c:axId val="847992160"/>
      </c:lineChart>
      <c:catAx>
        <c:axId val="84799839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847992160"/>
        <c:crosses val="autoZero"/>
        <c:auto val="1"/>
        <c:lblAlgn val="ctr"/>
        <c:lblOffset val="100"/>
        <c:noMultiLvlLbl val="0"/>
      </c:catAx>
      <c:valAx>
        <c:axId val="847992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47998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[FinanceData.xlsx]Pivot tables!PivotTable7</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Expenses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a:sp3d/>
        </c:spPr>
        <c:marker>
          <c:symbol val="circle"/>
          <c:size val="8"/>
          <c:spPr>
            <a:solidFill>
              <a:schemeClr val="accent2"/>
            </a:solidFill>
            <a:ln>
              <a:noFill/>
            </a:ln>
            <a:effectLst/>
          </c:spPr>
        </c:marker>
      </c:pivotFmt>
      <c:pivotFmt>
        <c:idx val="1"/>
        <c:spPr>
          <a:solidFill>
            <a:schemeClr val="accent2"/>
          </a:solidFill>
          <a:ln>
            <a:noFill/>
          </a:ln>
          <a:effectLst/>
          <a:sp3d/>
        </c:spPr>
        <c:marker>
          <c:symbol val="none"/>
        </c:marker>
      </c:pivotFmt>
      <c:pivotFmt>
        <c:idx val="2"/>
        <c:spPr>
          <a:solidFill>
            <a:schemeClr val="accent2"/>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tables'!$B$42</c:f>
              <c:strCache>
                <c:ptCount val="1"/>
                <c:pt idx="0">
                  <c:v>Total</c:v>
                </c:pt>
              </c:strCache>
            </c:strRef>
          </c:tx>
          <c:spPr>
            <a:solidFill>
              <a:schemeClr val="accent2"/>
            </a:solidFill>
            <a:ln>
              <a:noFill/>
            </a:ln>
            <a:effectLst/>
            <a:sp3d/>
          </c:spPr>
          <c:invertIfNegative val="0"/>
          <c:cat>
            <c:strRef>
              <c:f>'Pivot tables'!$A$43:$A$46</c:f>
              <c:strCache>
                <c:ptCount val="3"/>
                <c:pt idx="0">
                  <c:v>Credit Card</c:v>
                </c:pt>
                <c:pt idx="1">
                  <c:v>Insurance</c:v>
                </c:pt>
                <c:pt idx="2">
                  <c:v>Loan</c:v>
                </c:pt>
              </c:strCache>
            </c:strRef>
          </c:cat>
          <c:val>
            <c:numRef>
              <c:f>'Pivot tables'!$B$43:$B$46</c:f>
              <c:numCache>
                <c:formatCode>General</c:formatCode>
                <c:ptCount val="3"/>
                <c:pt idx="0">
                  <c:v>3255052</c:v>
                </c:pt>
                <c:pt idx="1">
                  <c:v>3805224</c:v>
                </c:pt>
                <c:pt idx="2">
                  <c:v>3529713</c:v>
                </c:pt>
              </c:numCache>
            </c:numRef>
          </c:val>
          <c:extLst>
            <c:ext xmlns:c16="http://schemas.microsoft.com/office/drawing/2014/chart" uri="{C3380CC4-5D6E-409C-BE32-E72D297353CC}">
              <c16:uniqueId val="{00000000-C14D-4F53-B679-BE6B615EC4AB}"/>
            </c:ext>
          </c:extLst>
        </c:ser>
        <c:dLbls>
          <c:showLegendKey val="0"/>
          <c:showVal val="0"/>
          <c:showCatName val="0"/>
          <c:showSerName val="0"/>
          <c:showPercent val="0"/>
          <c:showBubbleSize val="0"/>
        </c:dLbls>
        <c:gapWidth val="150"/>
        <c:shape val="box"/>
        <c:axId val="927821656"/>
        <c:axId val="927826904"/>
        <c:axId val="0"/>
      </c:bar3DChart>
      <c:catAx>
        <c:axId val="927821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27826904"/>
        <c:crosses val="autoZero"/>
        <c:auto val="1"/>
        <c:lblAlgn val="ctr"/>
        <c:lblOffset val="100"/>
        <c:noMultiLvlLbl val="0"/>
      </c:catAx>
      <c:valAx>
        <c:axId val="92782690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821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[FinanceData.xlsx]Pivot tables!PivotTable5</c:name>
    <c:fmtId val="3"/>
  </c:pivotSource>
  <c:chart>
    <c:autoTitleDeleted val="0"/>
    <c:pivotFmts>
      <c:pivotFmt>
        <c:idx val="0"/>
        <c:spPr>
          <a:solidFill>
            <a:schemeClr val="accent2"/>
          </a:solidFill>
          <a:ln w="28575" cap="rnd">
            <a:solidFill>
              <a:schemeClr val="accent2"/>
            </a:solidFill>
            <a:round/>
          </a:ln>
          <a:effectLst/>
        </c:spPr>
        <c:marker>
          <c:symbol val="circle"/>
          <c:size val="5"/>
          <c:spPr>
            <a:solidFill>
              <a:schemeClr val="accent2">
                <a:shade val="58000"/>
              </a:schemeClr>
            </a:solidFill>
            <a:ln w="9525">
              <a:solidFill>
                <a:schemeClr val="accent2">
                  <a:shade val="58000"/>
                </a:schemeClr>
              </a:solidFill>
            </a:ln>
            <a:effectLst/>
          </c:spPr>
        </c:marker>
      </c:pivotFmt>
      <c:pivotFmt>
        <c:idx val="1"/>
        <c:spPr>
          <a:solidFill>
            <a:schemeClr val="accent2"/>
          </a:solidFill>
          <a:ln w="28575" cap="rnd">
            <a:solidFill>
              <a:schemeClr val="accent2"/>
            </a:solidFill>
            <a:round/>
          </a:ln>
          <a:effectLst/>
        </c:spPr>
        <c:marker>
          <c:symbol val="circle"/>
          <c:size val="5"/>
          <c:spPr>
            <a:solidFill>
              <a:schemeClr val="accent2">
                <a:shade val="86000"/>
              </a:schemeClr>
            </a:solidFill>
            <a:ln w="9525">
              <a:solidFill>
                <a:schemeClr val="accent2">
                  <a:shade val="86000"/>
                </a:schemeClr>
              </a:solidFill>
            </a:ln>
            <a:effectLst/>
          </c:spPr>
        </c:marker>
      </c:pivotFmt>
      <c:pivotFmt>
        <c:idx val="2"/>
        <c:spPr>
          <a:solidFill>
            <a:schemeClr val="accent2"/>
          </a:solidFill>
          <a:ln w="28575" cap="rnd">
            <a:solidFill>
              <a:schemeClr val="accent2"/>
            </a:solidFill>
            <a:round/>
          </a:ln>
          <a:effectLst/>
        </c:spPr>
        <c:marker>
          <c:symbol val="circle"/>
          <c:size val="5"/>
          <c:spPr>
            <a:solidFill>
              <a:schemeClr val="accent2">
                <a:tint val="86000"/>
              </a:schemeClr>
            </a:solidFill>
            <a:ln w="9525">
              <a:solidFill>
                <a:schemeClr val="accent2">
                  <a:tint val="86000"/>
                </a:schemeClr>
              </a:solidFill>
            </a:ln>
            <a:effectLst/>
          </c:spPr>
        </c:marker>
      </c:pivotFmt>
      <c:pivotFmt>
        <c:idx val="3"/>
        <c:spPr>
          <a:solidFill>
            <a:schemeClr val="accent2"/>
          </a:solidFill>
          <a:ln w="28575" cap="rnd">
            <a:solidFill>
              <a:schemeClr val="accent2"/>
            </a:solidFill>
            <a:round/>
          </a:ln>
          <a:effectLst/>
        </c:spPr>
        <c:marker>
          <c:symbol val="circle"/>
          <c:size val="5"/>
          <c:spPr>
            <a:solidFill>
              <a:schemeClr val="accent2">
                <a:tint val="58000"/>
              </a:schemeClr>
            </a:solidFill>
            <a:ln w="9525">
              <a:solidFill>
                <a:schemeClr val="accent2">
                  <a:tint val="58000"/>
                </a:schemeClr>
              </a:solidFill>
            </a:ln>
            <a:effectLst/>
          </c:spPr>
        </c:marker>
      </c:pivotFmt>
      <c:pivotFmt>
        <c:idx val="4"/>
        <c:spPr>
          <a:solidFill>
            <a:schemeClr val="accent2"/>
          </a:solidFill>
          <a:ln w="28575" cap="rnd">
            <a:solidFill>
              <a:schemeClr val="accent2"/>
            </a:solidFill>
            <a:round/>
          </a:ln>
          <a:effectLst/>
        </c:spPr>
        <c:marker>
          <c:symbol val="circle"/>
          <c:size val="5"/>
          <c:spPr>
            <a:solidFill>
              <a:schemeClr val="accent2">
                <a:shade val="58000"/>
              </a:schemeClr>
            </a:solidFill>
            <a:ln w="9525">
              <a:solidFill>
                <a:schemeClr val="accent2">
                  <a:shade val="58000"/>
                </a:schemeClr>
              </a:solidFill>
            </a:ln>
            <a:effectLst/>
          </c:spPr>
        </c:marker>
      </c:pivotFmt>
      <c:pivotFmt>
        <c:idx val="5"/>
        <c:spPr>
          <a:solidFill>
            <a:schemeClr val="accent2"/>
          </a:solidFill>
          <a:ln w="28575" cap="rnd">
            <a:solidFill>
              <a:schemeClr val="accent2"/>
            </a:solidFill>
            <a:round/>
          </a:ln>
          <a:effectLst/>
        </c:spPr>
        <c:marker>
          <c:symbol val="circle"/>
          <c:size val="5"/>
          <c:spPr>
            <a:solidFill>
              <a:schemeClr val="accent2">
                <a:shade val="86000"/>
              </a:schemeClr>
            </a:solidFill>
            <a:ln w="9525">
              <a:solidFill>
                <a:schemeClr val="accent2">
                  <a:shade val="86000"/>
                </a:schemeClr>
              </a:solidFill>
            </a:ln>
            <a:effectLst/>
          </c:spPr>
        </c:marker>
      </c:pivotFmt>
      <c:pivotFmt>
        <c:idx val="6"/>
        <c:spPr>
          <a:solidFill>
            <a:schemeClr val="accent2"/>
          </a:solidFill>
          <a:ln w="28575" cap="rnd">
            <a:solidFill>
              <a:schemeClr val="accent2"/>
            </a:solidFill>
            <a:round/>
          </a:ln>
          <a:effectLst/>
        </c:spPr>
        <c:marker>
          <c:symbol val="circle"/>
          <c:size val="5"/>
          <c:spPr>
            <a:solidFill>
              <a:schemeClr val="accent2">
                <a:tint val="86000"/>
              </a:schemeClr>
            </a:solidFill>
            <a:ln w="9525">
              <a:solidFill>
                <a:schemeClr val="accent2">
                  <a:tint val="86000"/>
                </a:schemeClr>
              </a:solidFill>
            </a:ln>
            <a:effectLst/>
          </c:spPr>
        </c:marker>
      </c:pivotFmt>
      <c:pivotFmt>
        <c:idx val="7"/>
        <c:spPr>
          <a:solidFill>
            <a:schemeClr val="accent2"/>
          </a:solidFill>
          <a:ln w="28575" cap="rnd">
            <a:solidFill>
              <a:schemeClr val="accent2"/>
            </a:solidFill>
            <a:round/>
          </a:ln>
          <a:effectLst/>
        </c:spPr>
        <c:marker>
          <c:symbol val="circle"/>
          <c:size val="5"/>
          <c:spPr>
            <a:solidFill>
              <a:schemeClr val="accent2">
                <a:tint val="58000"/>
              </a:schemeClr>
            </a:solidFill>
            <a:ln w="9525">
              <a:solidFill>
                <a:schemeClr val="accent2">
                  <a:tint val="58000"/>
                </a:schemeClr>
              </a:solidFill>
            </a:ln>
            <a:effectLst/>
          </c:spPr>
        </c:marker>
      </c:pivotFmt>
      <c:pivotFmt>
        <c:idx val="8"/>
        <c:spPr>
          <a:ln w="28575" cap="rnd">
            <a:solidFill>
              <a:schemeClr val="accent2"/>
            </a:solidFill>
            <a:round/>
          </a:ln>
          <a:effectLst/>
        </c:spPr>
        <c:marker>
          <c:symbol val="circle"/>
          <c:size val="5"/>
          <c:spPr>
            <a:solidFill>
              <a:schemeClr val="accent2">
                <a:shade val="58000"/>
              </a:schemeClr>
            </a:solidFill>
            <a:ln w="9525">
              <a:solidFill>
                <a:schemeClr val="accent2">
                  <a:shade val="58000"/>
                </a:schemeClr>
              </a:solidFill>
            </a:ln>
            <a:effectLst/>
          </c:spPr>
        </c:marker>
      </c:pivotFmt>
      <c:pivotFmt>
        <c:idx val="9"/>
        <c:spPr>
          <a:ln w="28575" cap="rnd">
            <a:solidFill>
              <a:schemeClr val="accent2"/>
            </a:solidFill>
            <a:round/>
          </a:ln>
          <a:effectLst/>
        </c:spPr>
        <c:marker>
          <c:symbol val="circle"/>
          <c:size val="5"/>
          <c:spPr>
            <a:solidFill>
              <a:schemeClr val="accent2">
                <a:shade val="86000"/>
              </a:schemeClr>
            </a:solidFill>
            <a:ln w="9525">
              <a:solidFill>
                <a:schemeClr val="accent2">
                  <a:shade val="86000"/>
                </a:schemeClr>
              </a:solidFill>
            </a:ln>
            <a:effectLst/>
          </c:spPr>
        </c:marker>
      </c:pivotFmt>
      <c:pivotFmt>
        <c:idx val="10"/>
        <c:spPr>
          <a:ln w="28575" cap="rnd">
            <a:solidFill>
              <a:schemeClr val="accent2"/>
            </a:solidFill>
            <a:round/>
          </a:ln>
          <a:effectLst/>
        </c:spPr>
        <c:marker>
          <c:symbol val="circle"/>
          <c:size val="5"/>
          <c:spPr>
            <a:solidFill>
              <a:schemeClr val="accent2">
                <a:tint val="86000"/>
              </a:schemeClr>
            </a:solidFill>
            <a:ln w="9525">
              <a:solidFill>
                <a:schemeClr val="accent2">
                  <a:tint val="86000"/>
                </a:schemeClr>
              </a:solidFill>
            </a:ln>
            <a:effectLst/>
          </c:spPr>
        </c:marker>
      </c:pivotFmt>
      <c:pivotFmt>
        <c:idx val="11"/>
        <c:spPr>
          <a:ln w="28575" cap="rnd">
            <a:solidFill>
              <a:schemeClr val="accent2"/>
            </a:solidFill>
            <a:round/>
          </a:ln>
          <a:effectLst/>
        </c:spPr>
        <c:marker>
          <c:symbol val="circle"/>
          <c:size val="5"/>
          <c:spPr>
            <a:solidFill>
              <a:schemeClr val="accent2">
                <a:tint val="58000"/>
              </a:schemeClr>
            </a:solidFill>
            <a:ln w="9525">
              <a:solidFill>
                <a:schemeClr val="accent2">
                  <a:tint val="58000"/>
                </a:schemeClr>
              </a:solidFill>
            </a:ln>
            <a:effectLst/>
          </c:spPr>
        </c:marker>
      </c:pivotFmt>
    </c:pivotFmts>
    <c:plotArea>
      <c:layout/>
      <c:lineChart>
        <c:grouping val="stacked"/>
        <c:varyColors val="0"/>
        <c:ser>
          <c:idx val="0"/>
          <c:order val="0"/>
          <c:tx>
            <c:strRef>
              <c:f>'Pivot tables'!$J$17:$J$18</c:f>
              <c:strCache>
                <c:ptCount val="1"/>
                <c:pt idx="0">
                  <c:v>East</c:v>
                </c:pt>
              </c:strCache>
            </c:strRef>
          </c:tx>
          <c:spPr>
            <a:ln w="28575" cap="rnd">
              <a:solidFill>
                <a:schemeClr val="accent2">
                  <a:shade val="58000"/>
                </a:schemeClr>
              </a:solidFill>
              <a:round/>
            </a:ln>
            <a:effectLst/>
          </c:spPr>
          <c:marker>
            <c:symbol val="circle"/>
            <c:size val="5"/>
            <c:spPr>
              <a:solidFill>
                <a:schemeClr val="accent2">
                  <a:shade val="58000"/>
                </a:schemeClr>
              </a:solidFill>
              <a:ln w="9525">
                <a:solidFill>
                  <a:schemeClr val="accent2">
                    <a:shade val="58000"/>
                  </a:schemeClr>
                </a:solidFill>
              </a:ln>
              <a:effectLst/>
            </c:spPr>
          </c:marker>
          <c:cat>
            <c:strRef>
              <c:f>'Pivot tables'!$I$19:$I$31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tables'!$J$19:$J$31</c:f>
              <c:numCache>
                <c:formatCode>General</c:formatCode>
                <c:ptCount val="12"/>
                <c:pt idx="0">
                  <c:v>357693</c:v>
                </c:pt>
                <c:pt idx="1">
                  <c:v>447993</c:v>
                </c:pt>
                <c:pt idx="2">
                  <c:v>513150</c:v>
                </c:pt>
                <c:pt idx="3">
                  <c:v>439355</c:v>
                </c:pt>
                <c:pt idx="4">
                  <c:v>305226</c:v>
                </c:pt>
                <c:pt idx="5">
                  <c:v>471040</c:v>
                </c:pt>
                <c:pt idx="6">
                  <c:v>320910</c:v>
                </c:pt>
                <c:pt idx="7">
                  <c:v>361178</c:v>
                </c:pt>
                <c:pt idx="8">
                  <c:v>384788</c:v>
                </c:pt>
                <c:pt idx="9">
                  <c:v>351849</c:v>
                </c:pt>
                <c:pt idx="10">
                  <c:v>385940</c:v>
                </c:pt>
                <c:pt idx="11">
                  <c:v>413530</c:v>
                </c:pt>
              </c:numCache>
            </c:numRef>
          </c:val>
          <c:smooth val="0"/>
          <c:extLst>
            <c:ext xmlns:c16="http://schemas.microsoft.com/office/drawing/2014/chart" uri="{C3380CC4-5D6E-409C-BE32-E72D297353CC}">
              <c16:uniqueId val="{00000000-DD6D-4D69-8A07-7F8752FCA880}"/>
            </c:ext>
          </c:extLst>
        </c:ser>
        <c:ser>
          <c:idx val="1"/>
          <c:order val="1"/>
          <c:tx>
            <c:strRef>
              <c:f>'Pivot tables'!$K$17:$K$18</c:f>
              <c:strCache>
                <c:ptCount val="1"/>
                <c:pt idx="0">
                  <c:v>North</c:v>
                </c:pt>
              </c:strCache>
            </c:strRef>
          </c:tx>
          <c:spPr>
            <a:ln w="28575" cap="rnd">
              <a:solidFill>
                <a:schemeClr val="accent2">
                  <a:shade val="86000"/>
                </a:schemeClr>
              </a:solidFill>
              <a:round/>
            </a:ln>
            <a:effectLst/>
          </c:spPr>
          <c:marker>
            <c:symbol val="circle"/>
            <c:size val="5"/>
            <c:spPr>
              <a:solidFill>
                <a:schemeClr val="accent2">
                  <a:shade val="86000"/>
                </a:schemeClr>
              </a:solidFill>
              <a:ln w="9525">
                <a:solidFill>
                  <a:schemeClr val="accent2">
                    <a:shade val="86000"/>
                  </a:schemeClr>
                </a:solidFill>
              </a:ln>
              <a:effectLst/>
            </c:spPr>
          </c:marker>
          <c:cat>
            <c:strRef>
              <c:f>'Pivot tables'!$I$19:$I$31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tables'!$K$19:$K$31</c:f>
              <c:numCache>
                <c:formatCode>General</c:formatCode>
                <c:ptCount val="12"/>
                <c:pt idx="0">
                  <c:v>450809</c:v>
                </c:pt>
                <c:pt idx="1">
                  <c:v>349477</c:v>
                </c:pt>
                <c:pt idx="2">
                  <c:v>340557</c:v>
                </c:pt>
                <c:pt idx="3">
                  <c:v>423210</c:v>
                </c:pt>
                <c:pt idx="4">
                  <c:v>560829</c:v>
                </c:pt>
                <c:pt idx="5">
                  <c:v>294320</c:v>
                </c:pt>
                <c:pt idx="6">
                  <c:v>287289</c:v>
                </c:pt>
                <c:pt idx="7">
                  <c:v>402195</c:v>
                </c:pt>
                <c:pt idx="8">
                  <c:v>466698</c:v>
                </c:pt>
                <c:pt idx="9">
                  <c:v>427954</c:v>
                </c:pt>
                <c:pt idx="10">
                  <c:v>328897</c:v>
                </c:pt>
                <c:pt idx="11">
                  <c:v>340911</c:v>
                </c:pt>
              </c:numCache>
            </c:numRef>
          </c:val>
          <c:smooth val="0"/>
          <c:extLst>
            <c:ext xmlns:c16="http://schemas.microsoft.com/office/drawing/2014/chart" uri="{C3380CC4-5D6E-409C-BE32-E72D297353CC}">
              <c16:uniqueId val="{0000000C-DD6D-4D69-8A07-7F8752FCA880}"/>
            </c:ext>
          </c:extLst>
        </c:ser>
        <c:ser>
          <c:idx val="2"/>
          <c:order val="2"/>
          <c:tx>
            <c:strRef>
              <c:f>'Pivot tables'!$L$17:$L$18</c:f>
              <c:strCache>
                <c:ptCount val="1"/>
                <c:pt idx="0">
                  <c:v>South</c:v>
                </c:pt>
              </c:strCache>
            </c:strRef>
          </c:tx>
          <c:spPr>
            <a:ln w="28575" cap="rnd">
              <a:solidFill>
                <a:schemeClr val="accent2">
                  <a:tint val="86000"/>
                </a:schemeClr>
              </a:solidFill>
              <a:round/>
            </a:ln>
            <a:effectLst/>
          </c:spPr>
          <c:marker>
            <c:symbol val="circle"/>
            <c:size val="5"/>
            <c:spPr>
              <a:solidFill>
                <a:schemeClr val="accent2">
                  <a:tint val="86000"/>
                </a:schemeClr>
              </a:solidFill>
              <a:ln w="9525">
                <a:solidFill>
                  <a:schemeClr val="accent2">
                    <a:tint val="86000"/>
                  </a:schemeClr>
                </a:solidFill>
              </a:ln>
              <a:effectLst/>
            </c:spPr>
          </c:marker>
          <c:cat>
            <c:strRef>
              <c:f>'Pivot tables'!$I$19:$I$31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tables'!$L$19:$L$31</c:f>
              <c:numCache>
                <c:formatCode>General</c:formatCode>
                <c:ptCount val="12"/>
                <c:pt idx="0">
                  <c:v>363819</c:v>
                </c:pt>
                <c:pt idx="1">
                  <c:v>556767</c:v>
                </c:pt>
                <c:pt idx="2">
                  <c:v>367543</c:v>
                </c:pt>
                <c:pt idx="3">
                  <c:v>471669</c:v>
                </c:pt>
                <c:pt idx="4">
                  <c:v>285182</c:v>
                </c:pt>
                <c:pt idx="5">
                  <c:v>323145</c:v>
                </c:pt>
                <c:pt idx="6">
                  <c:v>410945</c:v>
                </c:pt>
                <c:pt idx="7">
                  <c:v>450756</c:v>
                </c:pt>
                <c:pt idx="8">
                  <c:v>393345</c:v>
                </c:pt>
                <c:pt idx="9">
                  <c:v>262451</c:v>
                </c:pt>
                <c:pt idx="10">
                  <c:v>318442</c:v>
                </c:pt>
                <c:pt idx="11">
                  <c:v>463924</c:v>
                </c:pt>
              </c:numCache>
            </c:numRef>
          </c:val>
          <c:smooth val="0"/>
          <c:extLst>
            <c:ext xmlns:c16="http://schemas.microsoft.com/office/drawing/2014/chart" uri="{C3380CC4-5D6E-409C-BE32-E72D297353CC}">
              <c16:uniqueId val="{0000000D-DD6D-4D69-8A07-7F8752FCA880}"/>
            </c:ext>
          </c:extLst>
        </c:ser>
        <c:ser>
          <c:idx val="3"/>
          <c:order val="3"/>
          <c:tx>
            <c:strRef>
              <c:f>'Pivot tables'!$M$17:$M$18</c:f>
              <c:strCache>
                <c:ptCount val="1"/>
                <c:pt idx="0">
                  <c:v>West</c:v>
                </c:pt>
              </c:strCache>
            </c:strRef>
          </c:tx>
          <c:spPr>
            <a:ln w="28575" cap="rnd">
              <a:solidFill>
                <a:schemeClr val="accent2">
                  <a:tint val="58000"/>
                </a:schemeClr>
              </a:solidFill>
              <a:round/>
            </a:ln>
            <a:effectLst/>
          </c:spPr>
          <c:marker>
            <c:symbol val="circle"/>
            <c:size val="5"/>
            <c:spPr>
              <a:solidFill>
                <a:schemeClr val="accent2">
                  <a:tint val="58000"/>
                </a:schemeClr>
              </a:solidFill>
              <a:ln w="9525">
                <a:solidFill>
                  <a:schemeClr val="accent2">
                    <a:tint val="58000"/>
                  </a:schemeClr>
                </a:solidFill>
              </a:ln>
              <a:effectLst/>
            </c:spPr>
          </c:marker>
          <c:cat>
            <c:strRef>
              <c:f>'Pivot tables'!$I$19:$I$31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tables'!$M$19:$M$31</c:f>
              <c:numCache>
                <c:formatCode>General</c:formatCode>
                <c:ptCount val="12"/>
                <c:pt idx="0">
                  <c:v>405152</c:v>
                </c:pt>
                <c:pt idx="1">
                  <c:v>374760</c:v>
                </c:pt>
                <c:pt idx="2">
                  <c:v>414295</c:v>
                </c:pt>
                <c:pt idx="3">
                  <c:v>404426</c:v>
                </c:pt>
                <c:pt idx="4">
                  <c:v>443870</c:v>
                </c:pt>
                <c:pt idx="5">
                  <c:v>404376</c:v>
                </c:pt>
                <c:pt idx="6">
                  <c:v>335303</c:v>
                </c:pt>
                <c:pt idx="7">
                  <c:v>444261</c:v>
                </c:pt>
                <c:pt idx="8">
                  <c:v>405083</c:v>
                </c:pt>
                <c:pt idx="9">
                  <c:v>319035</c:v>
                </c:pt>
                <c:pt idx="10">
                  <c:v>369949</c:v>
                </c:pt>
                <c:pt idx="11">
                  <c:v>389085</c:v>
                </c:pt>
              </c:numCache>
            </c:numRef>
          </c:val>
          <c:smooth val="0"/>
          <c:extLst>
            <c:ext xmlns:c16="http://schemas.microsoft.com/office/drawing/2014/chart" uri="{C3380CC4-5D6E-409C-BE32-E72D297353CC}">
              <c16:uniqueId val="{0000000E-DD6D-4D69-8A07-7F8752FCA880}"/>
            </c:ext>
          </c:extLst>
        </c:ser>
        <c:dLbls>
          <c:showLegendKey val="0"/>
          <c:showVal val="0"/>
          <c:showCatName val="0"/>
          <c:showSerName val="0"/>
          <c:showPercent val="0"/>
          <c:showBubbleSize val="0"/>
        </c:dLbls>
        <c:marker val="1"/>
        <c:smooth val="0"/>
        <c:axId val="843307072"/>
        <c:axId val="843308712"/>
      </c:lineChart>
      <c:catAx>
        <c:axId val="84330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308712"/>
        <c:crosses val="autoZero"/>
        <c:auto val="1"/>
        <c:lblAlgn val="ctr"/>
        <c:lblOffset val="100"/>
        <c:noMultiLvlLbl val="0"/>
      </c:catAx>
      <c:valAx>
        <c:axId val="843308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30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7.png"/><Relationship Id="rId18" Type="http://schemas.openxmlformats.org/officeDocument/2006/relationships/image" Target="../media/image12.png"/><Relationship Id="rId3" Type="http://schemas.openxmlformats.org/officeDocument/2006/relationships/image" Target="../media/image3.png"/><Relationship Id="rId21" Type="http://schemas.openxmlformats.org/officeDocument/2006/relationships/image" Target="../media/image15.png"/><Relationship Id="rId7" Type="http://schemas.openxmlformats.org/officeDocument/2006/relationships/chart" Target="../charts/chart9.xml"/><Relationship Id="rId12" Type="http://schemas.openxmlformats.org/officeDocument/2006/relationships/image" Target="../media/image6.svg"/><Relationship Id="rId17" Type="http://schemas.openxmlformats.org/officeDocument/2006/relationships/image" Target="../media/image11.png"/><Relationship Id="rId25" Type="http://schemas.openxmlformats.org/officeDocument/2006/relationships/image" Target="../media/image19.png"/><Relationship Id="rId2" Type="http://schemas.openxmlformats.org/officeDocument/2006/relationships/image" Target="../media/image2.svg"/><Relationship Id="rId16" Type="http://schemas.openxmlformats.org/officeDocument/2006/relationships/image" Target="../media/image10.png"/><Relationship Id="rId20"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image" Target="../media/image5.png"/><Relationship Id="rId24" Type="http://schemas.openxmlformats.org/officeDocument/2006/relationships/image" Target="../media/image18.svg"/><Relationship Id="rId5" Type="http://schemas.openxmlformats.org/officeDocument/2006/relationships/chart" Target="../charts/chart7.xml"/><Relationship Id="rId15" Type="http://schemas.openxmlformats.org/officeDocument/2006/relationships/image" Target="../media/image9.svg"/><Relationship Id="rId23" Type="http://schemas.openxmlformats.org/officeDocument/2006/relationships/image" Target="../media/image17.png"/><Relationship Id="rId10" Type="http://schemas.openxmlformats.org/officeDocument/2006/relationships/chart" Target="../charts/chart12.xml"/><Relationship Id="rId19" Type="http://schemas.openxmlformats.org/officeDocument/2006/relationships/image" Target="../media/image13.png"/><Relationship Id="rId4" Type="http://schemas.openxmlformats.org/officeDocument/2006/relationships/image" Target="../media/image4.svg"/><Relationship Id="rId9" Type="http://schemas.openxmlformats.org/officeDocument/2006/relationships/chart" Target="../charts/chart11.xml"/><Relationship Id="rId14" Type="http://schemas.openxmlformats.org/officeDocument/2006/relationships/image" Target="../media/image8.png"/><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oneCellAnchor>
    <xdr:from>
      <xdr:col>12</xdr:col>
      <xdr:colOff>368300</xdr:colOff>
      <xdr:row>3</xdr:row>
      <xdr:rowOff>19050</xdr:rowOff>
    </xdr:from>
    <xdr:ext cx="184731" cy="264560"/>
    <xdr:sp macro="" textlink="">
      <xdr:nvSpPr>
        <xdr:cNvPr id="2" name="TextBox 1">
          <a:extLst>
            <a:ext uri="{FF2B5EF4-FFF2-40B4-BE49-F238E27FC236}">
              <a16:creationId xmlns:a16="http://schemas.microsoft.com/office/drawing/2014/main" id="{355F8F21-383B-4142-A7E9-7F3A27B113EE}"/>
            </a:ext>
          </a:extLst>
        </xdr:cNvPr>
        <xdr:cNvSpPr txBox="1"/>
      </xdr:nvSpPr>
      <xdr:spPr>
        <a:xfrm>
          <a:off x="8331200" y="571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10</xdr:col>
      <xdr:colOff>19050</xdr:colOff>
      <xdr:row>0</xdr:row>
      <xdr:rowOff>31750</xdr:rowOff>
    </xdr:from>
    <xdr:to>
      <xdr:col>16</xdr:col>
      <xdr:colOff>400050</xdr:colOff>
      <xdr:row>14</xdr:row>
      <xdr:rowOff>0</xdr:rowOff>
    </xdr:to>
    <xdr:graphicFrame macro="">
      <xdr:nvGraphicFramePr>
        <xdr:cNvPr id="2" name="Chart 1">
          <a:extLst>
            <a:ext uri="{FF2B5EF4-FFF2-40B4-BE49-F238E27FC236}">
              <a16:creationId xmlns:a16="http://schemas.microsoft.com/office/drawing/2014/main" id="{74427861-E34B-43C1-A27E-BC415FC6E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561975</xdr:colOff>
      <xdr:row>0</xdr:row>
      <xdr:rowOff>1</xdr:rowOff>
    </xdr:from>
    <xdr:to>
      <xdr:col>7</xdr:col>
      <xdr:colOff>234950</xdr:colOff>
      <xdr:row>10</xdr:row>
      <xdr:rowOff>31751</xdr:rowOff>
    </xdr:to>
    <xdr:graphicFrame macro="">
      <xdr:nvGraphicFramePr>
        <xdr:cNvPr id="3" name="Chart 2">
          <a:extLst>
            <a:ext uri="{FF2B5EF4-FFF2-40B4-BE49-F238E27FC236}">
              <a16:creationId xmlns:a16="http://schemas.microsoft.com/office/drawing/2014/main" id="{D081391E-5C2C-4485-838B-45D8D8544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555625</xdr:colOff>
      <xdr:row>10</xdr:row>
      <xdr:rowOff>76199</xdr:rowOff>
    </xdr:from>
    <xdr:to>
      <xdr:col>7</xdr:col>
      <xdr:colOff>234950</xdr:colOff>
      <xdr:row>21</xdr:row>
      <xdr:rowOff>117474</xdr:rowOff>
    </xdr:to>
    <xdr:graphicFrame macro="">
      <xdr:nvGraphicFramePr>
        <xdr:cNvPr id="4" name="Chart 3">
          <a:extLst>
            <a:ext uri="{FF2B5EF4-FFF2-40B4-BE49-F238E27FC236}">
              <a16:creationId xmlns:a16="http://schemas.microsoft.com/office/drawing/2014/main" id="{8F6176C2-7EA5-41B6-8980-E3D2FF77D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355599</xdr:colOff>
      <xdr:row>24</xdr:row>
      <xdr:rowOff>31749</xdr:rowOff>
    </xdr:from>
    <xdr:to>
      <xdr:col>7</xdr:col>
      <xdr:colOff>406400</xdr:colOff>
      <xdr:row>35</xdr:row>
      <xdr:rowOff>180974</xdr:rowOff>
    </xdr:to>
    <xdr:graphicFrame macro="">
      <xdr:nvGraphicFramePr>
        <xdr:cNvPr id="5" name="Chart 4">
          <a:extLst>
            <a:ext uri="{FF2B5EF4-FFF2-40B4-BE49-F238E27FC236}">
              <a16:creationId xmlns:a16="http://schemas.microsoft.com/office/drawing/2014/main" id="{E6710BDF-49ED-45F6-B1A5-A8CDB609CD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155575</xdr:colOff>
      <xdr:row>16</xdr:row>
      <xdr:rowOff>12700</xdr:rowOff>
    </xdr:from>
    <xdr:to>
      <xdr:col>20</xdr:col>
      <xdr:colOff>469900</xdr:colOff>
      <xdr:row>27</xdr:row>
      <xdr:rowOff>155575</xdr:rowOff>
    </xdr:to>
    <xdr:graphicFrame macro="">
      <xdr:nvGraphicFramePr>
        <xdr:cNvPr id="6" name="Chart 5">
          <a:extLst>
            <a:ext uri="{FF2B5EF4-FFF2-40B4-BE49-F238E27FC236}">
              <a16:creationId xmlns:a16="http://schemas.microsoft.com/office/drawing/2014/main" id="{FE4154A3-140D-4B41-9E91-9528BF0C74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327025</xdr:colOff>
      <xdr:row>39</xdr:row>
      <xdr:rowOff>82549</xdr:rowOff>
    </xdr:from>
    <xdr:to>
      <xdr:col>7</xdr:col>
      <xdr:colOff>501650</xdr:colOff>
      <xdr:row>51</xdr:row>
      <xdr:rowOff>111124</xdr:rowOff>
    </xdr:to>
    <xdr:graphicFrame macro="">
      <xdr:nvGraphicFramePr>
        <xdr:cNvPr id="7" name="Chart 6">
          <a:extLst>
            <a:ext uri="{FF2B5EF4-FFF2-40B4-BE49-F238E27FC236}">
              <a16:creationId xmlns:a16="http://schemas.microsoft.com/office/drawing/2014/main" id="{01A6D750-98CA-49F2-B198-8E455A378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71438</xdr:colOff>
      <xdr:row>0</xdr:row>
      <xdr:rowOff>87313</xdr:rowOff>
    </xdr:from>
    <xdr:to>
      <xdr:col>24</xdr:col>
      <xdr:colOff>281214</xdr:colOff>
      <xdr:row>4</xdr:row>
      <xdr:rowOff>15875</xdr:rowOff>
    </xdr:to>
    <xdr:sp macro="" textlink="">
      <xdr:nvSpPr>
        <xdr:cNvPr id="2" name="Rectangle: Top Corners Rounded 1">
          <a:extLst>
            <a:ext uri="{FF2B5EF4-FFF2-40B4-BE49-F238E27FC236}">
              <a16:creationId xmlns:a16="http://schemas.microsoft.com/office/drawing/2014/main" id="{526C56E5-4B4F-4A53-839B-9A5A59DCEB12}"/>
            </a:ext>
          </a:extLst>
        </xdr:cNvPr>
        <xdr:cNvSpPr/>
      </xdr:nvSpPr>
      <xdr:spPr>
        <a:xfrm>
          <a:off x="71438" y="87313"/>
          <a:ext cx="14796633" cy="654276"/>
        </a:xfrm>
        <a:prstGeom prst="round2Same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solidFill>
                <a:schemeClr val="accent2">
                  <a:lumMod val="75000"/>
                </a:schemeClr>
              </a:solidFill>
            </a:rPr>
            <a:t>Growth</a:t>
          </a:r>
          <a:r>
            <a:rPr lang="en-IN" sz="3600" b="1" baseline="0">
              <a:solidFill>
                <a:schemeClr val="accent2">
                  <a:lumMod val="75000"/>
                </a:schemeClr>
              </a:solidFill>
            </a:rPr>
            <a:t> Analysis Dashboard</a:t>
          </a:r>
          <a:endParaRPr lang="en-IN" sz="3600" b="1">
            <a:solidFill>
              <a:schemeClr val="accent2">
                <a:lumMod val="75000"/>
              </a:schemeClr>
            </a:solidFill>
          </a:endParaRPr>
        </a:p>
      </xdr:txBody>
    </xdr:sp>
    <xdr:clientData/>
  </xdr:twoCellAnchor>
  <xdr:twoCellAnchor>
    <xdr:from>
      <xdr:col>0</xdr:col>
      <xdr:colOff>71438</xdr:colOff>
      <xdr:row>4</xdr:row>
      <xdr:rowOff>79375</xdr:rowOff>
    </xdr:from>
    <xdr:to>
      <xdr:col>24</xdr:col>
      <xdr:colOff>290286</xdr:colOff>
      <xdr:row>39</xdr:row>
      <xdr:rowOff>81643</xdr:rowOff>
    </xdr:to>
    <xdr:sp macro="" textlink="">
      <xdr:nvSpPr>
        <xdr:cNvPr id="4" name="Rectangle 3">
          <a:extLst>
            <a:ext uri="{FF2B5EF4-FFF2-40B4-BE49-F238E27FC236}">
              <a16:creationId xmlns:a16="http://schemas.microsoft.com/office/drawing/2014/main" id="{BEF3ED51-1CD0-41C1-8EBB-887C4E727222}"/>
            </a:ext>
          </a:extLst>
        </xdr:cNvPr>
        <xdr:cNvSpPr/>
      </xdr:nvSpPr>
      <xdr:spPr>
        <a:xfrm>
          <a:off x="71438" y="805089"/>
          <a:ext cx="14805705" cy="6352268"/>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116417</xdr:colOff>
      <xdr:row>4</xdr:row>
      <xdr:rowOff>127000</xdr:rowOff>
    </xdr:from>
    <xdr:to>
      <xdr:col>3</xdr:col>
      <xdr:colOff>359833</xdr:colOff>
      <xdr:row>39</xdr:row>
      <xdr:rowOff>63500</xdr:rowOff>
    </xdr:to>
    <xdr:sp macro="" textlink="">
      <xdr:nvSpPr>
        <xdr:cNvPr id="5" name="Rectangle 4">
          <a:extLst>
            <a:ext uri="{FF2B5EF4-FFF2-40B4-BE49-F238E27FC236}">
              <a16:creationId xmlns:a16="http://schemas.microsoft.com/office/drawing/2014/main" id="{E4BA7432-2858-4BF9-8770-D8F08C34B4D9}"/>
            </a:ext>
          </a:extLst>
        </xdr:cNvPr>
        <xdr:cNvSpPr/>
      </xdr:nvSpPr>
      <xdr:spPr>
        <a:xfrm>
          <a:off x="116417" y="846667"/>
          <a:ext cx="2084916" cy="6233583"/>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158750</xdr:colOff>
      <xdr:row>20</xdr:row>
      <xdr:rowOff>95250</xdr:rowOff>
    </xdr:from>
    <xdr:to>
      <xdr:col>3</xdr:col>
      <xdr:colOff>349250</xdr:colOff>
      <xdr:row>39</xdr:row>
      <xdr:rowOff>37042</xdr:rowOff>
    </xdr:to>
    <mc:AlternateContent xmlns:mc="http://schemas.openxmlformats.org/markup-compatibility/2006">
      <mc:Choice xmlns:a14="http://schemas.microsoft.com/office/drawing/2010/main" Requires="a14">
        <xdr:graphicFrame macro="">
          <xdr:nvGraphicFramePr>
            <xdr:cNvPr id="6" name="Month">
              <a:extLst>
                <a:ext uri="{FF2B5EF4-FFF2-40B4-BE49-F238E27FC236}">
                  <a16:creationId xmlns:a16="http://schemas.microsoft.com/office/drawing/2014/main" id="{567B6B32-8A02-4C95-9FF5-5CFF333DAC8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8750" y="3723821"/>
              <a:ext cx="2004786" cy="3388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156105</xdr:colOff>
      <xdr:row>13</xdr:row>
      <xdr:rowOff>117171</xdr:rowOff>
    </xdr:from>
    <xdr:to>
      <xdr:col>3</xdr:col>
      <xdr:colOff>306917</xdr:colOff>
      <xdr:row>20</xdr:row>
      <xdr:rowOff>21166</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7148C49E-12CF-4202-A621-D925B002EE7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56105" y="2475742"/>
              <a:ext cx="1965098" cy="1173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156104</xdr:colOff>
      <xdr:row>5</xdr:row>
      <xdr:rowOff>757</xdr:rowOff>
    </xdr:from>
    <xdr:to>
      <xdr:col>3</xdr:col>
      <xdr:colOff>317499</xdr:colOff>
      <xdr:row>13</xdr:row>
      <xdr:rowOff>31750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DFC11080-FA18-45EB-B43B-D4C73230C7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6104" y="907900"/>
              <a:ext cx="1975681" cy="1482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417284</xdr:colOff>
      <xdr:row>0</xdr:row>
      <xdr:rowOff>127000</xdr:rowOff>
    </xdr:from>
    <xdr:to>
      <xdr:col>7</xdr:col>
      <xdr:colOff>438452</xdr:colOff>
      <xdr:row>4</xdr:row>
      <xdr:rowOff>42334</xdr:rowOff>
    </xdr:to>
    <xdr:pic>
      <xdr:nvPicPr>
        <xdr:cNvPr id="14" name="Graphic 13" descr="Bar graph with upward trend">
          <a:extLst>
            <a:ext uri="{FF2B5EF4-FFF2-40B4-BE49-F238E27FC236}">
              <a16:creationId xmlns:a16="http://schemas.microsoft.com/office/drawing/2014/main" id="{97670A09-6E0B-4D95-A070-BD0DD4BD8D1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045855" y="127000"/>
          <a:ext cx="625930" cy="641048"/>
        </a:xfrm>
        <a:prstGeom prst="rect">
          <a:avLst/>
        </a:prstGeom>
      </xdr:spPr>
    </xdr:pic>
    <xdr:clientData/>
  </xdr:twoCellAnchor>
  <xdr:twoCellAnchor editAs="oneCell">
    <xdr:from>
      <xdr:col>16</xdr:col>
      <xdr:colOff>440973</xdr:colOff>
      <xdr:row>0</xdr:row>
      <xdr:rowOff>147159</xdr:rowOff>
    </xdr:from>
    <xdr:to>
      <xdr:col>17</xdr:col>
      <xdr:colOff>388055</xdr:colOff>
      <xdr:row>3</xdr:row>
      <xdr:rowOff>168325</xdr:rowOff>
    </xdr:to>
    <xdr:pic>
      <xdr:nvPicPr>
        <xdr:cNvPr id="16" name="Graphic 15" descr="Research">
          <a:extLst>
            <a:ext uri="{FF2B5EF4-FFF2-40B4-BE49-F238E27FC236}">
              <a16:creationId xmlns:a16="http://schemas.microsoft.com/office/drawing/2014/main" id="{82920ABB-1EB8-484A-AB75-7AC817A42A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0117163" y="147159"/>
          <a:ext cx="551844" cy="565452"/>
        </a:xfrm>
        <a:prstGeom prst="rect">
          <a:avLst/>
        </a:prstGeom>
      </xdr:spPr>
    </xdr:pic>
    <xdr:clientData/>
  </xdr:twoCellAnchor>
  <xdr:twoCellAnchor>
    <xdr:from>
      <xdr:col>3</xdr:col>
      <xdr:colOff>433917</xdr:colOff>
      <xdr:row>4</xdr:row>
      <xdr:rowOff>158749</xdr:rowOff>
    </xdr:from>
    <xdr:to>
      <xdr:col>7</xdr:col>
      <xdr:colOff>317500</xdr:colOff>
      <xdr:row>10</xdr:row>
      <xdr:rowOff>141111</xdr:rowOff>
    </xdr:to>
    <xdr:sp macro="" textlink="">
      <xdr:nvSpPr>
        <xdr:cNvPr id="18" name="Rectangle 17">
          <a:extLst>
            <a:ext uri="{FF2B5EF4-FFF2-40B4-BE49-F238E27FC236}">
              <a16:creationId xmlns:a16="http://schemas.microsoft.com/office/drawing/2014/main" id="{E08BA631-262A-4386-BA5B-248CE0337425}"/>
            </a:ext>
          </a:extLst>
        </xdr:cNvPr>
        <xdr:cNvSpPr/>
      </xdr:nvSpPr>
      <xdr:spPr>
        <a:xfrm>
          <a:off x="2248203" y="884463"/>
          <a:ext cx="2302630" cy="1070934"/>
        </a:xfrm>
        <a:prstGeom prst="rect">
          <a:avLst/>
        </a:prstGeom>
        <a:gradFill flip="none" rotWithShape="1">
          <a:gsLst>
            <a:gs pos="55500">
              <a:schemeClr val="accent2">
                <a:lumMod val="20000"/>
                <a:lumOff val="80000"/>
              </a:schemeClr>
            </a:gs>
            <a:gs pos="37000">
              <a:schemeClr val="accent2">
                <a:lumMod val="20000"/>
                <a:lumOff val="80000"/>
              </a:schemeClr>
            </a:gs>
            <a:gs pos="0">
              <a:schemeClr val="accent2">
                <a:lumMod val="40000"/>
                <a:lumOff val="60000"/>
              </a:schemeClr>
            </a:gs>
            <a:gs pos="74000">
              <a:schemeClr val="accent2">
                <a:lumMod val="40000"/>
                <a:lumOff val="60000"/>
              </a:schemeClr>
            </a:gs>
            <a:gs pos="83000">
              <a:schemeClr val="accent2">
                <a:lumMod val="60000"/>
                <a:lumOff val="40000"/>
              </a:schemeClr>
            </a:gs>
            <a:gs pos="100000">
              <a:schemeClr val="accent2">
                <a:lumMod val="60000"/>
                <a:lumOff val="40000"/>
              </a:schemeClr>
            </a:gs>
          </a:gsLst>
          <a:lin ang="18900000" scaled="1"/>
          <a:tileRect/>
        </a:gradFill>
        <a:ln>
          <a:noFill/>
        </a:ln>
        <a:effectLst>
          <a:glow rad="63500">
            <a:schemeClr val="tx1">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2000" b="1">
            <a:solidFill>
              <a:schemeClr val="tx1"/>
            </a:solidFill>
          </a:endParaRPr>
        </a:p>
      </xdr:txBody>
    </xdr:sp>
    <xdr:clientData/>
  </xdr:twoCellAnchor>
  <xdr:oneCellAnchor>
    <xdr:from>
      <xdr:col>5</xdr:col>
      <xdr:colOff>95250</xdr:colOff>
      <xdr:row>9</xdr:row>
      <xdr:rowOff>0</xdr:rowOff>
    </xdr:from>
    <xdr:ext cx="216534" cy="264560"/>
    <xdr:sp macro="" textlink="B6">
      <xdr:nvSpPr>
        <xdr:cNvPr id="19" name="TextBox 18">
          <a:extLst>
            <a:ext uri="{FF2B5EF4-FFF2-40B4-BE49-F238E27FC236}">
              <a16:creationId xmlns:a16="http://schemas.microsoft.com/office/drawing/2014/main" id="{D651C426-771B-48E5-8190-AC0AFEA2B2AD}"/>
            </a:ext>
          </a:extLst>
        </xdr:cNvPr>
        <xdr:cNvSpPr txBox="1"/>
      </xdr:nvSpPr>
      <xdr:spPr>
        <a:xfrm>
          <a:off x="3164417" y="1619250"/>
          <a:ext cx="2165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4D8B603-9D9E-4AF5-B72C-FAFAD1B56CD1}" type="TxLink">
            <a:rPr lang="en-US" sz="1100" b="0" i="0" u="none" strike="noStrike">
              <a:solidFill>
                <a:srgbClr val="000000"/>
              </a:solidFill>
              <a:latin typeface="Calibri"/>
              <a:cs typeface="Calibri"/>
            </a:rPr>
            <a:t> </a:t>
          </a:fld>
          <a:endParaRPr lang="en-IN" sz="1100"/>
        </a:p>
      </xdr:txBody>
    </xdr:sp>
    <xdr:clientData/>
  </xdr:oneCellAnchor>
  <xdr:oneCellAnchor>
    <xdr:from>
      <xdr:col>5</xdr:col>
      <xdr:colOff>465666</xdr:colOff>
      <xdr:row>9</xdr:row>
      <xdr:rowOff>42333</xdr:rowOff>
    </xdr:from>
    <xdr:ext cx="184731" cy="264560"/>
    <xdr:sp macro="" textlink="">
      <xdr:nvSpPr>
        <xdr:cNvPr id="20" name="TextBox 19">
          <a:extLst>
            <a:ext uri="{FF2B5EF4-FFF2-40B4-BE49-F238E27FC236}">
              <a16:creationId xmlns:a16="http://schemas.microsoft.com/office/drawing/2014/main" id="{B7681036-8937-4724-8949-6B23C37FFD80}"/>
            </a:ext>
          </a:extLst>
        </xdr:cNvPr>
        <xdr:cNvSpPr txBox="1"/>
      </xdr:nvSpPr>
      <xdr:spPr>
        <a:xfrm>
          <a:off x="3534833" y="166158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xdr:col>
      <xdr:colOff>420687</xdr:colOff>
      <xdr:row>11</xdr:row>
      <xdr:rowOff>21923</xdr:rowOff>
    </xdr:from>
    <xdr:to>
      <xdr:col>9</xdr:col>
      <xdr:colOff>560916</xdr:colOff>
      <xdr:row>24</xdr:row>
      <xdr:rowOff>95249</xdr:rowOff>
    </xdr:to>
    <xdr:graphicFrame macro="">
      <xdr:nvGraphicFramePr>
        <xdr:cNvPr id="21" name="Chart 20">
          <a:extLst>
            <a:ext uri="{FF2B5EF4-FFF2-40B4-BE49-F238E27FC236}">
              <a16:creationId xmlns:a16="http://schemas.microsoft.com/office/drawing/2014/main" id="{30CB027F-3A33-4DBB-A5F6-6559481DC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116416</xdr:colOff>
      <xdr:row>11</xdr:row>
      <xdr:rowOff>52916</xdr:rowOff>
    </xdr:from>
    <xdr:to>
      <xdr:col>24</xdr:col>
      <xdr:colOff>259821</xdr:colOff>
      <xdr:row>24</xdr:row>
      <xdr:rowOff>105832</xdr:rowOff>
    </xdr:to>
    <xdr:graphicFrame macro="">
      <xdr:nvGraphicFramePr>
        <xdr:cNvPr id="22" name="Chart 21">
          <a:extLst>
            <a:ext uri="{FF2B5EF4-FFF2-40B4-BE49-F238E27FC236}">
              <a16:creationId xmlns:a16="http://schemas.microsoft.com/office/drawing/2014/main" id="{066B7BF9-E205-43F0-A1DD-0044C08E1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441854</xdr:colOff>
      <xdr:row>24</xdr:row>
      <xdr:rowOff>170089</xdr:rowOff>
    </xdr:from>
    <xdr:to>
      <xdr:col>10</xdr:col>
      <xdr:colOff>10585</xdr:colOff>
      <xdr:row>39</xdr:row>
      <xdr:rowOff>42333</xdr:rowOff>
    </xdr:to>
    <xdr:graphicFrame macro="">
      <xdr:nvGraphicFramePr>
        <xdr:cNvPr id="23" name="Chart 22">
          <a:extLst>
            <a:ext uri="{FF2B5EF4-FFF2-40B4-BE49-F238E27FC236}">
              <a16:creationId xmlns:a16="http://schemas.microsoft.com/office/drawing/2014/main" id="{54332295-F86C-443D-83F5-D746AAF2E1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42334</xdr:colOff>
      <xdr:row>11</xdr:row>
      <xdr:rowOff>42334</xdr:rowOff>
    </xdr:from>
    <xdr:to>
      <xdr:col>17</xdr:col>
      <xdr:colOff>-1</xdr:colOff>
      <xdr:row>24</xdr:row>
      <xdr:rowOff>90714</xdr:rowOff>
    </xdr:to>
    <xdr:graphicFrame macro="">
      <xdr:nvGraphicFramePr>
        <xdr:cNvPr id="25" name="Chart 24">
          <a:extLst>
            <a:ext uri="{FF2B5EF4-FFF2-40B4-BE49-F238E27FC236}">
              <a16:creationId xmlns:a16="http://schemas.microsoft.com/office/drawing/2014/main" id="{F03C42D0-97F9-43FF-8A33-64ABB67B0D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42335</xdr:colOff>
      <xdr:row>24</xdr:row>
      <xdr:rowOff>169333</xdr:rowOff>
    </xdr:from>
    <xdr:to>
      <xdr:col>17</xdr:col>
      <xdr:colOff>1</xdr:colOff>
      <xdr:row>39</xdr:row>
      <xdr:rowOff>31750</xdr:rowOff>
    </xdr:to>
    <xdr:graphicFrame macro="">
      <xdr:nvGraphicFramePr>
        <xdr:cNvPr id="27" name="Chart 26">
          <a:extLst>
            <a:ext uri="{FF2B5EF4-FFF2-40B4-BE49-F238E27FC236}">
              <a16:creationId xmlns:a16="http://schemas.microsoft.com/office/drawing/2014/main" id="{01881FCF-51D6-4F18-A61D-1BD031E3E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71438</xdr:colOff>
      <xdr:row>24</xdr:row>
      <xdr:rowOff>169332</xdr:rowOff>
    </xdr:from>
    <xdr:to>
      <xdr:col>24</xdr:col>
      <xdr:colOff>232833</xdr:colOff>
      <xdr:row>39</xdr:row>
      <xdr:rowOff>31749</xdr:rowOff>
    </xdr:to>
    <xdr:graphicFrame macro="">
      <xdr:nvGraphicFramePr>
        <xdr:cNvPr id="29" name="Chart 28">
          <a:extLst>
            <a:ext uri="{FF2B5EF4-FFF2-40B4-BE49-F238E27FC236}">
              <a16:creationId xmlns:a16="http://schemas.microsoft.com/office/drawing/2014/main" id="{EE62159B-70AF-4448-9C1B-2E5D94EA4C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571501</xdr:colOff>
      <xdr:row>4</xdr:row>
      <xdr:rowOff>159506</xdr:rowOff>
    </xdr:from>
    <xdr:to>
      <xdr:col>11</xdr:col>
      <xdr:colOff>423333</xdr:colOff>
      <xdr:row>10</xdr:row>
      <xdr:rowOff>138339</xdr:rowOff>
    </xdr:to>
    <xdr:sp macro="" textlink="">
      <xdr:nvSpPr>
        <xdr:cNvPr id="30" name="Rectangle 29">
          <a:extLst>
            <a:ext uri="{FF2B5EF4-FFF2-40B4-BE49-F238E27FC236}">
              <a16:creationId xmlns:a16="http://schemas.microsoft.com/office/drawing/2014/main" id="{65F60F4D-4739-4C60-ABE6-DA282A41D208}"/>
            </a:ext>
          </a:extLst>
        </xdr:cNvPr>
        <xdr:cNvSpPr/>
      </xdr:nvSpPr>
      <xdr:spPr>
        <a:xfrm>
          <a:off x="4868334" y="879173"/>
          <a:ext cx="2307166" cy="1058333"/>
        </a:xfrm>
        <a:prstGeom prst="rect">
          <a:avLst/>
        </a:prstGeom>
        <a:gradFill>
          <a:gsLst>
            <a:gs pos="55500">
              <a:schemeClr val="accent2">
                <a:lumMod val="20000"/>
                <a:lumOff val="80000"/>
              </a:schemeClr>
            </a:gs>
            <a:gs pos="37000">
              <a:schemeClr val="accent2">
                <a:lumMod val="20000"/>
                <a:lumOff val="80000"/>
              </a:schemeClr>
            </a:gs>
            <a:gs pos="0">
              <a:schemeClr val="accent2">
                <a:lumMod val="40000"/>
                <a:lumOff val="60000"/>
              </a:schemeClr>
            </a:gs>
            <a:gs pos="74000">
              <a:schemeClr val="accent2">
                <a:lumMod val="40000"/>
                <a:lumOff val="60000"/>
              </a:schemeClr>
            </a:gs>
            <a:gs pos="83000">
              <a:schemeClr val="accent2">
                <a:lumMod val="60000"/>
                <a:lumOff val="40000"/>
              </a:schemeClr>
            </a:gs>
            <a:gs pos="100000">
              <a:schemeClr val="accent2">
                <a:lumMod val="60000"/>
                <a:lumOff val="40000"/>
              </a:schemeClr>
            </a:gs>
          </a:gsLst>
          <a:lin ang="18900000" scaled="1"/>
        </a:gradFill>
        <a:ln>
          <a:noFill/>
        </a:ln>
        <a:effectLst>
          <a:glow rad="63500">
            <a:schemeClr val="tx1">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b="1">
            <a:solidFill>
              <a:schemeClr val="tx1"/>
            </a:solidFill>
          </a:endParaRPr>
        </a:p>
      </xdr:txBody>
    </xdr:sp>
    <xdr:clientData/>
  </xdr:twoCellAnchor>
  <xdr:twoCellAnchor>
    <xdr:from>
      <xdr:col>12</xdr:col>
      <xdr:colOff>145142</xdr:colOff>
      <xdr:row>4</xdr:row>
      <xdr:rowOff>139346</xdr:rowOff>
    </xdr:from>
    <xdr:to>
      <xdr:col>16</xdr:col>
      <xdr:colOff>60476</xdr:colOff>
      <xdr:row>10</xdr:row>
      <xdr:rowOff>118179</xdr:rowOff>
    </xdr:to>
    <xdr:sp macro="" textlink="Finance_Data!O7">
      <xdr:nvSpPr>
        <xdr:cNvPr id="31" name="Rectangle 30">
          <a:extLst>
            <a:ext uri="{FF2B5EF4-FFF2-40B4-BE49-F238E27FC236}">
              <a16:creationId xmlns:a16="http://schemas.microsoft.com/office/drawing/2014/main" id="{E3F83813-3335-48DB-80C4-A52A74CD09D7}"/>
            </a:ext>
          </a:extLst>
        </xdr:cNvPr>
        <xdr:cNvSpPr/>
      </xdr:nvSpPr>
      <xdr:spPr>
        <a:xfrm>
          <a:off x="7402285" y="865060"/>
          <a:ext cx="2334381" cy="1067405"/>
        </a:xfrm>
        <a:prstGeom prst="rect">
          <a:avLst/>
        </a:prstGeom>
        <a:gradFill>
          <a:gsLst>
            <a:gs pos="55500">
              <a:schemeClr val="accent2">
                <a:lumMod val="20000"/>
                <a:lumOff val="80000"/>
              </a:schemeClr>
            </a:gs>
            <a:gs pos="37000">
              <a:schemeClr val="accent2">
                <a:lumMod val="20000"/>
                <a:lumOff val="80000"/>
              </a:schemeClr>
            </a:gs>
            <a:gs pos="0">
              <a:schemeClr val="accent2">
                <a:lumMod val="40000"/>
                <a:lumOff val="60000"/>
              </a:schemeClr>
            </a:gs>
            <a:gs pos="74000">
              <a:schemeClr val="accent2">
                <a:lumMod val="40000"/>
                <a:lumOff val="60000"/>
              </a:schemeClr>
            </a:gs>
            <a:gs pos="83000">
              <a:schemeClr val="accent2">
                <a:lumMod val="60000"/>
                <a:lumOff val="40000"/>
              </a:schemeClr>
            </a:gs>
            <a:gs pos="100000">
              <a:schemeClr val="accent2">
                <a:lumMod val="60000"/>
                <a:lumOff val="40000"/>
              </a:schemeClr>
            </a:gs>
          </a:gsLst>
          <a:lin ang="18900000" scaled="1"/>
        </a:gradFill>
        <a:ln>
          <a:noFill/>
        </a:ln>
        <a:effectLst>
          <a:glow rad="63500">
            <a:schemeClr val="tx1">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i="0" u="none" strike="noStrike">
            <a:solidFill>
              <a:srgbClr val="000000"/>
            </a:solidFill>
            <a:latin typeface="Calibri"/>
            <a:cs typeface="Calibri"/>
          </a:endParaRPr>
        </a:p>
        <a:p>
          <a:pPr algn="ctr"/>
          <a:endParaRPr lang="en-US" sz="1100" b="0" i="0" u="none" strike="noStrike">
            <a:solidFill>
              <a:srgbClr val="000000"/>
            </a:solidFill>
            <a:latin typeface="Calibri"/>
            <a:cs typeface="Calibri"/>
          </a:endParaRPr>
        </a:p>
        <a:p>
          <a:pPr algn="ctr"/>
          <a:endParaRPr lang="en-US" sz="2000" b="1" i="0" u="none" strike="noStrike">
            <a:solidFill>
              <a:srgbClr val="000000"/>
            </a:solidFill>
            <a:latin typeface="Calibri"/>
            <a:cs typeface="Calibri"/>
          </a:endParaRPr>
        </a:p>
        <a:p>
          <a:pPr algn="ctr"/>
          <a:r>
            <a:rPr lang="en-US" sz="1100" b="0" i="0" u="none" strike="noStrike">
              <a:solidFill>
                <a:srgbClr val="000000"/>
              </a:solidFill>
              <a:latin typeface="Calibri"/>
              <a:cs typeface="Calibri"/>
            </a:rPr>
            <a:t>                          </a:t>
          </a:r>
          <a:fld id="{2E3A3473-4060-4240-B35F-26CAC1F678CA}" type="TxLink">
            <a:rPr lang="en-US" sz="1800" b="1" i="0" u="none" strike="noStrike">
              <a:solidFill>
                <a:srgbClr val="000000"/>
              </a:solidFill>
              <a:latin typeface="Calibri"/>
              <a:cs typeface="Calibri"/>
            </a:rPr>
            <a:t>₹ 1,05,89,989</a:t>
          </a:fld>
          <a:endParaRPr lang="en-IN" sz="1800" b="1">
            <a:solidFill>
              <a:schemeClr val="tx1"/>
            </a:solidFill>
          </a:endParaRPr>
        </a:p>
      </xdr:txBody>
    </xdr:sp>
    <xdr:clientData/>
  </xdr:twoCellAnchor>
  <xdr:twoCellAnchor>
    <xdr:from>
      <xdr:col>16</xdr:col>
      <xdr:colOff>328084</xdr:colOff>
      <xdr:row>4</xdr:row>
      <xdr:rowOff>148922</xdr:rowOff>
    </xdr:from>
    <xdr:to>
      <xdr:col>20</xdr:col>
      <xdr:colOff>187853</xdr:colOff>
      <xdr:row>10</xdr:row>
      <xdr:rowOff>127755</xdr:rowOff>
    </xdr:to>
    <xdr:sp macro="" textlink="">
      <xdr:nvSpPr>
        <xdr:cNvPr id="32" name="Rectangle 31">
          <a:extLst>
            <a:ext uri="{FF2B5EF4-FFF2-40B4-BE49-F238E27FC236}">
              <a16:creationId xmlns:a16="http://schemas.microsoft.com/office/drawing/2014/main" id="{8650574F-EFBD-427A-A976-C036D2AA0987}"/>
            </a:ext>
          </a:extLst>
        </xdr:cNvPr>
        <xdr:cNvSpPr/>
      </xdr:nvSpPr>
      <xdr:spPr>
        <a:xfrm>
          <a:off x="10149417" y="868589"/>
          <a:ext cx="2315103" cy="1058333"/>
        </a:xfrm>
        <a:prstGeom prst="rect">
          <a:avLst/>
        </a:prstGeom>
        <a:gradFill>
          <a:gsLst>
            <a:gs pos="55500">
              <a:schemeClr val="accent2">
                <a:lumMod val="20000"/>
                <a:lumOff val="80000"/>
              </a:schemeClr>
            </a:gs>
            <a:gs pos="37000">
              <a:schemeClr val="accent2">
                <a:lumMod val="20000"/>
                <a:lumOff val="80000"/>
              </a:schemeClr>
            </a:gs>
            <a:gs pos="0">
              <a:schemeClr val="accent2">
                <a:lumMod val="40000"/>
                <a:lumOff val="60000"/>
              </a:schemeClr>
            </a:gs>
            <a:gs pos="74000">
              <a:schemeClr val="accent2">
                <a:lumMod val="40000"/>
                <a:lumOff val="60000"/>
              </a:schemeClr>
            </a:gs>
            <a:gs pos="83000">
              <a:schemeClr val="accent2">
                <a:lumMod val="60000"/>
                <a:lumOff val="40000"/>
              </a:schemeClr>
            </a:gs>
            <a:gs pos="100000">
              <a:schemeClr val="accent2">
                <a:lumMod val="60000"/>
                <a:lumOff val="40000"/>
              </a:schemeClr>
            </a:gs>
          </a:gsLst>
          <a:lin ang="18900000" scaled="1"/>
        </a:gradFill>
        <a:ln>
          <a:noFill/>
        </a:ln>
        <a:effectLst>
          <a:glow rad="63500">
            <a:schemeClr val="tx1">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solidFill>
              <a:schemeClr val="tx1"/>
            </a:solidFill>
          </a:endParaRPr>
        </a:p>
      </xdr:txBody>
    </xdr:sp>
    <xdr:clientData/>
  </xdr:twoCellAnchor>
  <xdr:twoCellAnchor>
    <xdr:from>
      <xdr:col>20</xdr:col>
      <xdr:colOff>403754</xdr:colOff>
      <xdr:row>4</xdr:row>
      <xdr:rowOff>142571</xdr:rowOff>
    </xdr:from>
    <xdr:to>
      <xdr:col>24</xdr:col>
      <xdr:colOff>202671</xdr:colOff>
      <xdr:row>10</xdr:row>
      <xdr:rowOff>121404</xdr:rowOff>
    </xdr:to>
    <xdr:sp macro="" textlink="">
      <xdr:nvSpPr>
        <xdr:cNvPr id="33" name="Rectangle 32">
          <a:extLst>
            <a:ext uri="{FF2B5EF4-FFF2-40B4-BE49-F238E27FC236}">
              <a16:creationId xmlns:a16="http://schemas.microsoft.com/office/drawing/2014/main" id="{5F13ED77-97D7-4F40-82AA-B3B3E1A340FF}"/>
            </a:ext>
          </a:extLst>
        </xdr:cNvPr>
        <xdr:cNvSpPr/>
      </xdr:nvSpPr>
      <xdr:spPr>
        <a:xfrm>
          <a:off x="12680421" y="862238"/>
          <a:ext cx="2254250" cy="1058333"/>
        </a:xfrm>
        <a:prstGeom prst="rect">
          <a:avLst/>
        </a:prstGeom>
        <a:gradFill>
          <a:gsLst>
            <a:gs pos="55500">
              <a:schemeClr val="accent2">
                <a:lumMod val="20000"/>
                <a:lumOff val="80000"/>
              </a:schemeClr>
            </a:gs>
            <a:gs pos="37000">
              <a:schemeClr val="accent2">
                <a:lumMod val="20000"/>
                <a:lumOff val="80000"/>
              </a:schemeClr>
            </a:gs>
            <a:gs pos="0">
              <a:schemeClr val="accent2">
                <a:lumMod val="40000"/>
                <a:lumOff val="60000"/>
              </a:schemeClr>
            </a:gs>
            <a:gs pos="74000">
              <a:schemeClr val="accent2">
                <a:lumMod val="40000"/>
                <a:lumOff val="60000"/>
              </a:schemeClr>
            </a:gs>
            <a:gs pos="83000">
              <a:schemeClr val="accent2">
                <a:lumMod val="60000"/>
                <a:lumOff val="40000"/>
              </a:schemeClr>
            </a:gs>
            <a:gs pos="100000">
              <a:schemeClr val="accent2">
                <a:lumMod val="60000"/>
                <a:lumOff val="40000"/>
              </a:schemeClr>
            </a:gs>
          </a:gsLst>
          <a:lin ang="18900000" scaled="1"/>
        </a:gradFill>
        <a:ln>
          <a:noFill/>
        </a:ln>
        <a:effectLst>
          <a:glow rad="63500">
            <a:schemeClr val="tx1">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800" b="1">
            <a:solidFill>
              <a:schemeClr val="tx1"/>
            </a:solidFill>
          </a:endParaRPr>
        </a:p>
      </xdr:txBody>
    </xdr:sp>
    <xdr:clientData/>
  </xdr:twoCellAnchor>
  <xdr:oneCellAnchor>
    <xdr:from>
      <xdr:col>4</xdr:col>
      <xdr:colOff>370417</xdr:colOff>
      <xdr:row>9</xdr:row>
      <xdr:rowOff>42333</xdr:rowOff>
    </xdr:from>
    <xdr:ext cx="184731" cy="264560"/>
    <xdr:sp macro="" textlink="">
      <xdr:nvSpPr>
        <xdr:cNvPr id="34" name="TextBox 33">
          <a:extLst>
            <a:ext uri="{FF2B5EF4-FFF2-40B4-BE49-F238E27FC236}">
              <a16:creationId xmlns:a16="http://schemas.microsoft.com/office/drawing/2014/main" id="{78824DAC-148B-4D0F-A29E-BCD3C389E5E9}"/>
            </a:ext>
          </a:extLst>
        </xdr:cNvPr>
        <xdr:cNvSpPr txBox="1"/>
      </xdr:nvSpPr>
      <xdr:spPr>
        <a:xfrm>
          <a:off x="2825750" y="166158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5</xdr:col>
      <xdr:colOff>105833</xdr:colOff>
      <xdr:row>8</xdr:row>
      <xdr:rowOff>148167</xdr:rowOff>
    </xdr:from>
    <xdr:ext cx="184731" cy="264560"/>
    <xdr:sp macro="" textlink="">
      <xdr:nvSpPr>
        <xdr:cNvPr id="35" name="TextBox 34">
          <a:extLst>
            <a:ext uri="{FF2B5EF4-FFF2-40B4-BE49-F238E27FC236}">
              <a16:creationId xmlns:a16="http://schemas.microsoft.com/office/drawing/2014/main" id="{BD0AC9A5-6A4F-4675-B2C7-15E32ABFC29D}"/>
            </a:ext>
          </a:extLst>
        </xdr:cNvPr>
        <xdr:cNvSpPr txBox="1"/>
      </xdr:nvSpPr>
      <xdr:spPr>
        <a:xfrm>
          <a:off x="3175000" y="1587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xdr:col>
      <xdr:colOff>413254</xdr:colOff>
      <xdr:row>9</xdr:row>
      <xdr:rowOff>0</xdr:rowOff>
    </xdr:from>
    <xdr:ext cx="216534" cy="264560"/>
    <xdr:sp macro="" textlink="">
      <xdr:nvSpPr>
        <xdr:cNvPr id="36" name="TextBox 35">
          <a:extLst>
            <a:ext uri="{FF2B5EF4-FFF2-40B4-BE49-F238E27FC236}">
              <a16:creationId xmlns:a16="http://schemas.microsoft.com/office/drawing/2014/main" id="{966C75DB-A1CD-4A77-9C03-77C7AC545A46}"/>
            </a:ext>
          </a:extLst>
        </xdr:cNvPr>
        <xdr:cNvSpPr txBox="1"/>
      </xdr:nvSpPr>
      <xdr:spPr>
        <a:xfrm>
          <a:off x="2832302" y="1632857"/>
          <a:ext cx="2165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 </a:t>
          </a:r>
        </a:p>
      </xdr:txBody>
    </xdr:sp>
    <xdr:clientData/>
  </xdr:oneCellAnchor>
  <xdr:oneCellAnchor>
    <xdr:from>
      <xdr:col>4</xdr:col>
      <xdr:colOff>383015</xdr:colOff>
      <xdr:row>8</xdr:row>
      <xdr:rowOff>20158</xdr:rowOff>
    </xdr:from>
    <xdr:ext cx="1794127" cy="443492"/>
    <xdr:sp macro="" textlink="'Pivot tables'!B9">
      <xdr:nvSpPr>
        <xdr:cNvPr id="37" name="TextBox 36">
          <a:extLst>
            <a:ext uri="{FF2B5EF4-FFF2-40B4-BE49-F238E27FC236}">
              <a16:creationId xmlns:a16="http://schemas.microsoft.com/office/drawing/2014/main" id="{D4A72B2F-E7EB-4481-9A88-AE5A71CD05EC}"/>
            </a:ext>
          </a:extLst>
        </xdr:cNvPr>
        <xdr:cNvSpPr txBox="1"/>
      </xdr:nvSpPr>
      <xdr:spPr>
        <a:xfrm>
          <a:off x="2802063" y="1471587"/>
          <a:ext cx="1794127" cy="4434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algn="r"/>
          <a:fld id="{403DBEB9-D032-4397-BDEA-A4816643184A}" type="TxLink">
            <a:rPr lang="en-US" sz="2000" b="1" i="0" u="none" strike="noStrike">
              <a:solidFill>
                <a:srgbClr val="000000"/>
              </a:solidFill>
              <a:latin typeface="Calibri"/>
              <a:cs typeface="Calibri"/>
            </a:rPr>
            <a:pPr algn="r"/>
            <a:t>₹ 1,88,03,381</a:t>
          </a:fld>
          <a:endParaRPr lang="en-IN" sz="2000" b="1"/>
        </a:p>
      </xdr:txBody>
    </xdr:sp>
    <xdr:clientData/>
  </xdr:oneCellAnchor>
  <xdr:twoCellAnchor editAs="oneCell">
    <xdr:from>
      <xdr:col>3</xdr:col>
      <xdr:colOff>473729</xdr:colOff>
      <xdr:row>4</xdr:row>
      <xdr:rowOff>110871</xdr:rowOff>
    </xdr:from>
    <xdr:to>
      <xdr:col>4</xdr:col>
      <xdr:colOff>453572</xdr:colOff>
      <xdr:row>8</xdr:row>
      <xdr:rowOff>110871</xdr:rowOff>
    </xdr:to>
    <xdr:pic>
      <xdr:nvPicPr>
        <xdr:cNvPr id="39" name="Graphic 38" descr="Money">
          <a:extLst>
            <a:ext uri="{FF2B5EF4-FFF2-40B4-BE49-F238E27FC236}">
              <a16:creationId xmlns:a16="http://schemas.microsoft.com/office/drawing/2014/main" id="{527E3919-2ECF-4D63-8AC8-ECDE03274D6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288015" y="836585"/>
          <a:ext cx="584605" cy="725715"/>
        </a:xfrm>
        <a:prstGeom prst="rect">
          <a:avLst/>
        </a:prstGeom>
      </xdr:spPr>
    </xdr:pic>
    <xdr:clientData/>
  </xdr:twoCellAnchor>
  <xdr:oneCellAnchor>
    <xdr:from>
      <xdr:col>9</xdr:col>
      <xdr:colOff>161269</xdr:colOff>
      <xdr:row>8</xdr:row>
      <xdr:rowOff>90714</xdr:rowOff>
    </xdr:from>
    <xdr:ext cx="1673175" cy="362857"/>
    <xdr:sp macro="" textlink="'Pivot tables'!B39">
      <xdr:nvSpPr>
        <xdr:cNvPr id="41" name="TextBox 40">
          <a:extLst>
            <a:ext uri="{FF2B5EF4-FFF2-40B4-BE49-F238E27FC236}">
              <a16:creationId xmlns:a16="http://schemas.microsoft.com/office/drawing/2014/main" id="{CAB4BAD9-2326-4649-991F-28E9AF042C07}"/>
            </a:ext>
          </a:extLst>
        </xdr:cNvPr>
        <xdr:cNvSpPr txBox="1"/>
      </xdr:nvSpPr>
      <xdr:spPr>
        <a:xfrm>
          <a:off x="5604126" y="1542143"/>
          <a:ext cx="1673175" cy="3628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C1319E3-DE4E-4971-87A4-1060E41D4246}" type="TxLink">
            <a:rPr lang="en-US" sz="2000" b="1" i="0" u="none" strike="noStrike">
              <a:solidFill>
                <a:srgbClr val="000000"/>
              </a:solidFill>
              <a:latin typeface="Calibri"/>
              <a:cs typeface="Calibri"/>
            </a:rPr>
            <a:t>₹ 82,13,392</a:t>
          </a:fld>
          <a:endParaRPr lang="en-IN" sz="2000" b="1"/>
        </a:p>
      </xdr:txBody>
    </xdr:sp>
    <xdr:clientData/>
  </xdr:oneCellAnchor>
  <xdr:twoCellAnchor editAs="oneCell">
    <xdr:from>
      <xdr:col>8</xdr:col>
      <xdr:colOff>514049</xdr:colOff>
      <xdr:row>5</xdr:row>
      <xdr:rowOff>92981</xdr:rowOff>
    </xdr:from>
    <xdr:to>
      <xdr:col>11</xdr:col>
      <xdr:colOff>514049</xdr:colOff>
      <xdr:row>8</xdr:row>
      <xdr:rowOff>151822</xdr:rowOff>
    </xdr:to>
    <xdr:pic>
      <xdr:nvPicPr>
        <xdr:cNvPr id="42" name="Picture 41">
          <a:extLst>
            <a:ext uri="{FF2B5EF4-FFF2-40B4-BE49-F238E27FC236}">
              <a16:creationId xmlns:a16="http://schemas.microsoft.com/office/drawing/2014/main" id="{C093DE1F-6228-427E-9A1C-75F17F39982F}"/>
            </a:ext>
          </a:extLst>
        </xdr:cNvPr>
        <xdr:cNvPicPr>
          <a:picLocks noChangeAspect="1"/>
        </xdr:cNvPicPr>
      </xdr:nvPicPr>
      <xdr:blipFill>
        <a:blip xmlns:r="http://schemas.openxmlformats.org/officeDocument/2006/relationships" r:embed="rId13"/>
        <a:stretch>
          <a:fillRect/>
        </a:stretch>
      </xdr:blipFill>
      <xdr:spPr>
        <a:xfrm>
          <a:off x="5352144" y="1000124"/>
          <a:ext cx="1814286" cy="603127"/>
        </a:xfrm>
        <a:prstGeom prst="rect">
          <a:avLst/>
        </a:prstGeom>
      </xdr:spPr>
    </xdr:pic>
    <xdr:clientData/>
  </xdr:twoCellAnchor>
  <xdr:twoCellAnchor editAs="oneCell">
    <xdr:from>
      <xdr:col>8</xdr:col>
      <xdr:colOff>30239</xdr:colOff>
      <xdr:row>5</xdr:row>
      <xdr:rowOff>50397</xdr:rowOff>
    </xdr:from>
    <xdr:to>
      <xdr:col>8</xdr:col>
      <xdr:colOff>594683</xdr:colOff>
      <xdr:row>8</xdr:row>
      <xdr:rowOff>70555</xdr:rowOff>
    </xdr:to>
    <xdr:pic>
      <xdr:nvPicPr>
        <xdr:cNvPr id="44" name="Graphic 43" descr="Upward trend">
          <a:extLst>
            <a:ext uri="{FF2B5EF4-FFF2-40B4-BE49-F238E27FC236}">
              <a16:creationId xmlns:a16="http://schemas.microsoft.com/office/drawing/2014/main" id="{5D47C4C3-B1C6-44CC-8484-00F5A0D0BBFA}"/>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4868334" y="957540"/>
          <a:ext cx="564444" cy="564444"/>
        </a:xfrm>
        <a:prstGeom prst="rect">
          <a:avLst/>
        </a:prstGeom>
      </xdr:spPr>
    </xdr:pic>
    <xdr:clientData/>
  </xdr:twoCellAnchor>
  <xdr:oneCellAnchor>
    <xdr:from>
      <xdr:col>18</xdr:col>
      <xdr:colOff>433414</xdr:colOff>
      <xdr:row>7</xdr:row>
      <xdr:rowOff>161271</xdr:rowOff>
    </xdr:from>
    <xdr:ext cx="897064" cy="486306"/>
    <xdr:sp macro="" textlink="Finance_Data!N4">
      <xdr:nvSpPr>
        <xdr:cNvPr id="45" name="TextBox 44">
          <a:extLst>
            <a:ext uri="{FF2B5EF4-FFF2-40B4-BE49-F238E27FC236}">
              <a16:creationId xmlns:a16="http://schemas.microsoft.com/office/drawing/2014/main" id="{DE9D1E42-B295-49FE-A2AF-A570B331D31C}"/>
            </a:ext>
          </a:extLst>
        </xdr:cNvPr>
        <xdr:cNvSpPr txBox="1"/>
      </xdr:nvSpPr>
      <xdr:spPr>
        <a:xfrm>
          <a:off x="11319128" y="1431271"/>
          <a:ext cx="897064" cy="4863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E1EA3B6A-DD4E-41AD-9288-555DFC7E8F9D}" type="TxLink">
            <a:rPr lang="en-US" sz="2000" b="1" i="0" u="none" strike="noStrike">
              <a:solidFill>
                <a:srgbClr val="000000"/>
              </a:solidFill>
              <a:latin typeface="Calibri"/>
              <a:cs typeface="Calibri"/>
            </a:rPr>
            <a:t>23094</a:t>
          </a:fld>
          <a:endParaRPr lang="en-IN" sz="2000" b="1"/>
        </a:p>
      </xdr:txBody>
    </xdr:sp>
    <xdr:clientData/>
  </xdr:oneCellAnchor>
  <xdr:twoCellAnchor editAs="oneCell">
    <xdr:from>
      <xdr:col>17</xdr:col>
      <xdr:colOff>110369</xdr:colOff>
      <xdr:row>5</xdr:row>
      <xdr:rowOff>82398</xdr:rowOff>
    </xdr:from>
    <xdr:to>
      <xdr:col>20</xdr:col>
      <xdr:colOff>283551</xdr:colOff>
      <xdr:row>8</xdr:row>
      <xdr:rowOff>86800</xdr:rowOff>
    </xdr:to>
    <xdr:pic>
      <xdr:nvPicPr>
        <xdr:cNvPr id="46" name="Picture 45">
          <a:extLst>
            <a:ext uri="{FF2B5EF4-FFF2-40B4-BE49-F238E27FC236}">
              <a16:creationId xmlns:a16="http://schemas.microsoft.com/office/drawing/2014/main" id="{CCA921AC-C394-48F7-9909-1DF05408F23C}"/>
            </a:ext>
          </a:extLst>
        </xdr:cNvPr>
        <xdr:cNvPicPr>
          <a:picLocks noChangeAspect="1"/>
        </xdr:cNvPicPr>
      </xdr:nvPicPr>
      <xdr:blipFill>
        <a:blip xmlns:r="http://schemas.openxmlformats.org/officeDocument/2006/relationships" r:embed="rId16"/>
        <a:stretch>
          <a:fillRect/>
        </a:stretch>
      </xdr:blipFill>
      <xdr:spPr>
        <a:xfrm>
          <a:off x="10391321" y="989541"/>
          <a:ext cx="1987468" cy="548688"/>
        </a:xfrm>
        <a:prstGeom prst="rect">
          <a:avLst/>
        </a:prstGeom>
      </xdr:spPr>
    </xdr:pic>
    <xdr:clientData/>
  </xdr:twoCellAnchor>
  <xdr:twoCellAnchor editAs="oneCell">
    <xdr:from>
      <xdr:col>4</xdr:col>
      <xdr:colOff>361547</xdr:colOff>
      <xdr:row>5</xdr:row>
      <xdr:rowOff>143832</xdr:rowOff>
    </xdr:from>
    <xdr:to>
      <xdr:col>7</xdr:col>
      <xdr:colOff>394510</xdr:colOff>
      <xdr:row>8</xdr:row>
      <xdr:rowOff>148234</xdr:rowOff>
    </xdr:to>
    <xdr:pic>
      <xdr:nvPicPr>
        <xdr:cNvPr id="47" name="Picture 46">
          <a:extLst>
            <a:ext uri="{FF2B5EF4-FFF2-40B4-BE49-F238E27FC236}">
              <a16:creationId xmlns:a16="http://schemas.microsoft.com/office/drawing/2014/main" id="{05055E47-34A3-4A65-9DF4-F4EA1DFF0B0F}"/>
            </a:ext>
          </a:extLst>
        </xdr:cNvPr>
        <xdr:cNvPicPr>
          <a:picLocks noChangeAspect="1"/>
        </xdr:cNvPicPr>
      </xdr:nvPicPr>
      <xdr:blipFill>
        <a:blip xmlns:r="http://schemas.openxmlformats.org/officeDocument/2006/relationships" r:embed="rId17"/>
        <a:stretch>
          <a:fillRect/>
        </a:stretch>
      </xdr:blipFill>
      <xdr:spPr>
        <a:xfrm>
          <a:off x="2780595" y="1050975"/>
          <a:ext cx="1847248" cy="548688"/>
        </a:xfrm>
        <a:prstGeom prst="rect">
          <a:avLst/>
        </a:prstGeom>
      </xdr:spPr>
    </xdr:pic>
    <xdr:clientData/>
  </xdr:twoCellAnchor>
  <xdr:oneCellAnchor>
    <xdr:from>
      <xdr:col>22</xdr:col>
      <xdr:colOff>474938</xdr:colOff>
      <xdr:row>7</xdr:row>
      <xdr:rowOff>162478</xdr:rowOff>
    </xdr:from>
    <xdr:ext cx="1784047" cy="745874"/>
    <xdr:sp macro="" textlink="Finance_Data!N10">
      <xdr:nvSpPr>
        <xdr:cNvPr id="49" name="TextBox 48">
          <a:extLst>
            <a:ext uri="{FF2B5EF4-FFF2-40B4-BE49-F238E27FC236}">
              <a16:creationId xmlns:a16="http://schemas.microsoft.com/office/drawing/2014/main" id="{EE364D8B-6F74-4121-A717-FD69F8265E61}"/>
            </a:ext>
          </a:extLst>
        </xdr:cNvPr>
        <xdr:cNvSpPr txBox="1"/>
      </xdr:nvSpPr>
      <xdr:spPr>
        <a:xfrm>
          <a:off x="13779700" y="1432478"/>
          <a:ext cx="1784047" cy="7458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9E9C810C-99B4-4043-BDB8-540BD98E55FE}" type="TxLink">
            <a:rPr lang="en-US" sz="1800" b="1" i="0" u="none" strike="noStrike">
              <a:solidFill>
                <a:srgbClr val="000000"/>
              </a:solidFill>
              <a:latin typeface="Calibri"/>
              <a:cs typeface="Calibri"/>
            </a:rPr>
            <a:t>43.69</a:t>
          </a:fld>
          <a:endParaRPr lang="en-IN" sz="1800" b="1"/>
        </a:p>
      </xdr:txBody>
    </xdr:sp>
    <xdr:clientData/>
  </xdr:oneCellAnchor>
  <xdr:twoCellAnchor editAs="oneCell">
    <xdr:from>
      <xdr:col>21</xdr:col>
      <xdr:colOff>302960</xdr:colOff>
      <xdr:row>5</xdr:row>
      <xdr:rowOff>90715</xdr:rowOff>
    </xdr:from>
    <xdr:to>
      <xdr:col>24</xdr:col>
      <xdr:colOff>282221</xdr:colOff>
      <xdr:row>8</xdr:row>
      <xdr:rowOff>116295</xdr:rowOff>
    </xdr:to>
    <xdr:pic>
      <xdr:nvPicPr>
        <xdr:cNvPr id="50" name="Picture 49">
          <a:extLst>
            <a:ext uri="{FF2B5EF4-FFF2-40B4-BE49-F238E27FC236}">
              <a16:creationId xmlns:a16="http://schemas.microsoft.com/office/drawing/2014/main" id="{F1E63DAC-4630-46EE-8E0D-32CFA672E4F4}"/>
            </a:ext>
          </a:extLst>
        </xdr:cNvPr>
        <xdr:cNvPicPr>
          <a:picLocks noChangeAspect="1"/>
        </xdr:cNvPicPr>
      </xdr:nvPicPr>
      <xdr:blipFill>
        <a:blip xmlns:r="http://schemas.openxmlformats.org/officeDocument/2006/relationships" r:embed="rId18"/>
        <a:stretch>
          <a:fillRect/>
        </a:stretch>
      </xdr:blipFill>
      <xdr:spPr>
        <a:xfrm>
          <a:off x="13002960" y="997858"/>
          <a:ext cx="1793547" cy="569866"/>
        </a:xfrm>
        <a:prstGeom prst="rect">
          <a:avLst/>
        </a:prstGeom>
      </xdr:spPr>
    </xdr:pic>
    <xdr:clientData/>
  </xdr:twoCellAnchor>
  <xdr:twoCellAnchor editAs="oneCell">
    <xdr:from>
      <xdr:col>20</xdr:col>
      <xdr:colOff>423334</xdr:colOff>
      <xdr:row>5</xdr:row>
      <xdr:rowOff>40317</xdr:rowOff>
    </xdr:from>
    <xdr:to>
      <xdr:col>21</xdr:col>
      <xdr:colOff>433413</xdr:colOff>
      <xdr:row>8</xdr:row>
      <xdr:rowOff>110872</xdr:rowOff>
    </xdr:to>
    <xdr:pic>
      <xdr:nvPicPr>
        <xdr:cNvPr id="53" name="Graphic 52" descr="Bullseye">
          <a:extLst>
            <a:ext uri="{FF2B5EF4-FFF2-40B4-BE49-F238E27FC236}">
              <a16:creationId xmlns:a16="http://schemas.microsoft.com/office/drawing/2014/main" id="{39ADAE52-DAED-408B-ADF2-B318BAB87777}"/>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2518572" y="947460"/>
          <a:ext cx="614841" cy="614841"/>
        </a:xfrm>
        <a:prstGeom prst="rect">
          <a:avLst/>
        </a:prstGeom>
      </xdr:spPr>
    </xdr:pic>
    <xdr:clientData/>
  </xdr:twoCellAnchor>
  <xdr:twoCellAnchor editAs="oneCell">
    <xdr:from>
      <xdr:col>16</xdr:col>
      <xdr:colOff>322541</xdr:colOff>
      <xdr:row>5</xdr:row>
      <xdr:rowOff>30238</xdr:rowOff>
    </xdr:from>
    <xdr:to>
      <xdr:col>17</xdr:col>
      <xdr:colOff>241906</xdr:colOff>
      <xdr:row>8</xdr:row>
      <xdr:rowOff>10079</xdr:rowOff>
    </xdr:to>
    <xdr:pic>
      <xdr:nvPicPr>
        <xdr:cNvPr id="55" name="Graphic 54" descr="Checklist">
          <a:extLst>
            <a:ext uri="{FF2B5EF4-FFF2-40B4-BE49-F238E27FC236}">
              <a16:creationId xmlns:a16="http://schemas.microsoft.com/office/drawing/2014/main" id="{7F55ABF6-7147-4B2F-BCA5-F219E6F47F5E}"/>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9998731" y="937381"/>
          <a:ext cx="524127" cy="524127"/>
        </a:xfrm>
        <a:prstGeom prst="rect">
          <a:avLst/>
        </a:prstGeom>
      </xdr:spPr>
    </xdr:pic>
    <xdr:clientData/>
  </xdr:twoCellAnchor>
  <xdr:twoCellAnchor editAs="oneCell">
    <xdr:from>
      <xdr:col>12</xdr:col>
      <xdr:colOff>211666</xdr:colOff>
      <xdr:row>5</xdr:row>
      <xdr:rowOff>90714</xdr:rowOff>
    </xdr:from>
    <xdr:to>
      <xdr:col>13</xdr:col>
      <xdr:colOff>191507</xdr:colOff>
      <xdr:row>8</xdr:row>
      <xdr:rowOff>131031</xdr:rowOff>
    </xdr:to>
    <xdr:pic>
      <xdr:nvPicPr>
        <xdr:cNvPr id="57" name="Graphic 56" descr="Newspaper">
          <a:extLst>
            <a:ext uri="{FF2B5EF4-FFF2-40B4-BE49-F238E27FC236}">
              <a16:creationId xmlns:a16="http://schemas.microsoft.com/office/drawing/2014/main" id="{7EFA2A98-17F0-4F4C-ADFD-FEB5C4EEECF1}"/>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7468809" y="997857"/>
          <a:ext cx="584603" cy="584603"/>
        </a:xfrm>
        <a:prstGeom prst="rect">
          <a:avLst/>
        </a:prstGeom>
      </xdr:spPr>
    </xdr:pic>
    <xdr:clientData/>
  </xdr:twoCellAnchor>
  <xdr:twoCellAnchor editAs="oneCell">
    <xdr:from>
      <xdr:col>13</xdr:col>
      <xdr:colOff>104824</xdr:colOff>
      <xdr:row>5</xdr:row>
      <xdr:rowOff>99028</xdr:rowOff>
    </xdr:from>
    <xdr:to>
      <xdr:col>16</xdr:col>
      <xdr:colOff>175380</xdr:colOff>
      <xdr:row>8</xdr:row>
      <xdr:rowOff>141111</xdr:rowOff>
    </xdr:to>
    <xdr:pic>
      <xdr:nvPicPr>
        <xdr:cNvPr id="58" name="Picture 57">
          <a:extLst>
            <a:ext uri="{FF2B5EF4-FFF2-40B4-BE49-F238E27FC236}">
              <a16:creationId xmlns:a16="http://schemas.microsoft.com/office/drawing/2014/main" id="{D6E2EDE1-536A-4ADE-9E18-9BD95301AD08}"/>
            </a:ext>
          </a:extLst>
        </xdr:cNvPr>
        <xdr:cNvPicPr>
          <a:picLocks noChangeAspect="1"/>
        </xdr:cNvPicPr>
      </xdr:nvPicPr>
      <xdr:blipFill>
        <a:blip xmlns:r="http://schemas.openxmlformats.org/officeDocument/2006/relationships" r:embed="rId25"/>
        <a:stretch>
          <a:fillRect/>
        </a:stretch>
      </xdr:blipFill>
      <xdr:spPr>
        <a:xfrm>
          <a:off x="7966729" y="1006171"/>
          <a:ext cx="1884841" cy="58636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11.447650578702" createdVersion="6" refreshedVersion="6" minRefreshableVersion="3" recordCount="144" xr:uid="{4D5575EB-CCFB-496F-AE40-20E9C7A55EBE}">
  <cacheSource type="worksheet">
    <worksheetSource ref="A1:K145" sheet="Finance_Data"/>
  </cacheSource>
  <cacheFields count="11">
    <cacheField name="Month" numFmtId="0">
      <sharedItems count="12">
        <s v="Jan"/>
        <s v="Feb"/>
        <s v="Mar"/>
        <s v="Apr"/>
        <s v="May"/>
        <s v="Jun"/>
        <s v="Jul"/>
        <s v="Aug"/>
        <s v="Sep"/>
        <s v="Oct"/>
        <s v="Nov"/>
        <s v="Dec"/>
      </sharedItems>
    </cacheField>
    <cacheField name="Region" numFmtId="0">
      <sharedItems count="4">
        <s v="North"/>
        <s v="South"/>
        <s v="East"/>
        <s v="West"/>
      </sharedItems>
    </cacheField>
    <cacheField name="Product" numFmtId="0">
      <sharedItems count="3">
        <s v="Loan"/>
        <s v="Credit Card"/>
        <s v="Insurance"/>
      </sharedItems>
    </cacheField>
    <cacheField name="Revenue" numFmtId="0">
      <sharedItems containsSemiMixedTypes="0" containsString="0" containsNumber="1" containsInteger="1" minValue="61383" maxValue="197335" count="144">
        <n v="157771"/>
        <n v="121705"/>
        <n v="171333"/>
        <n v="104430"/>
        <n v="104089"/>
        <n v="155300"/>
        <n v="186874"/>
        <n v="67617"/>
        <n v="103202"/>
        <n v="127591"/>
        <n v="139238"/>
        <n v="138323"/>
        <n v="130149"/>
        <n v="156356"/>
        <n v="62972"/>
        <n v="169699"/>
        <n v="197290"/>
        <n v="189778"/>
        <n v="155934"/>
        <n v="140599"/>
        <n v="151460"/>
        <n v="170156"/>
        <n v="67974"/>
        <n v="136630"/>
        <n v="88448"/>
        <n v="134551"/>
        <n v="117558"/>
        <n v="120131"/>
        <n v="76358"/>
        <n v="171054"/>
        <n v="174920"/>
        <n v="188380"/>
        <n v="149850"/>
        <n v="188262"/>
        <n v="74320"/>
        <n v="151713"/>
        <n v="103248"/>
        <n v="151589"/>
        <n v="168373"/>
        <n v="176755"/>
        <n v="150497"/>
        <n v="144417"/>
        <n v="160238"/>
        <n v="166884"/>
        <n v="112233"/>
        <n v="187152"/>
        <n v="120404"/>
        <n v="96870"/>
        <n v="175078"/>
        <n v="192818"/>
        <n v="192933"/>
        <n v="88144"/>
        <n v="74290"/>
        <n v="122748"/>
        <n v="100367"/>
        <n v="101529"/>
        <n v="103330"/>
        <n v="189128"/>
        <n v="108867"/>
        <n v="145875"/>
        <n v="79475"/>
        <n v="110747"/>
        <n v="104098"/>
        <n v="150930"/>
        <n v="96430"/>
        <n v="75785"/>
        <n v="192642"/>
        <n v="81182"/>
        <n v="197216"/>
        <n v="158382"/>
        <n v="126735"/>
        <n v="119259"/>
        <n v="78259"/>
        <n v="124014"/>
        <n v="85016"/>
        <n v="111472"/>
        <n v="126918"/>
        <n v="172555"/>
        <n v="62192"/>
        <n v="197335"/>
        <n v="61383"/>
        <n v="120050"/>
        <n v="88362"/>
        <n v="126891"/>
        <n v="192978"/>
        <n v="83926"/>
        <n v="125291"/>
        <n v="184314"/>
        <n v="99651"/>
        <n v="166791"/>
        <n v="105732"/>
        <n v="95591"/>
        <n v="159855"/>
        <n v="85542"/>
        <n v="165005"/>
        <n v="193714"/>
        <n v="168094"/>
        <n v="142257"/>
        <n v="156347"/>
        <n v="176384"/>
        <n v="138358"/>
        <n v="78603"/>
        <n v="126931"/>
        <n v="189420"/>
        <n v="68437"/>
        <n v="149412"/>
        <n v="182899"/>
        <n v="72772"/>
        <n v="171709"/>
        <n v="63747"/>
        <n v="192498"/>
        <n v="66332"/>
        <n v="82213"/>
        <n v="113906"/>
        <n v="149256"/>
        <n v="70934"/>
        <n v="131659"/>
        <n v="137669"/>
        <n v="73234"/>
        <n v="108132"/>
        <n v="137991"/>
        <n v="109717"/>
        <n v="81189"/>
        <n v="89295"/>
        <n v="106553"/>
        <n v="122594"/>
        <n v="112392"/>
        <n v="192342"/>
        <n v="81206"/>
        <n v="75313"/>
        <n v="173771"/>
        <n v="120865"/>
        <n v="99742"/>
        <n v="99208"/>
        <n v="141961"/>
        <n v="133614"/>
        <n v="150302"/>
        <n v="180008"/>
        <n v="124485"/>
        <n v="126249"/>
        <n v="162796"/>
        <n v="191187"/>
        <n v="77898"/>
        <n v="120000"/>
      </sharedItems>
    </cacheField>
    <cacheField name="Expenses" numFmtId="0">
      <sharedItems containsSemiMixedTypes="0" containsString="0" containsNumber="1" containsInteger="1" minValue="30016" maxValue="118124"/>
    </cacheField>
    <cacheField name="Profit" numFmtId="0">
      <sharedItems containsSemiMixedTypes="0" containsString="0" containsNumber="1" containsInteger="1" minValue="-52045" maxValue="164692"/>
    </cacheField>
    <cacheField name="Units Sold" numFmtId="0">
      <sharedItems containsSemiMixedTypes="0" containsString="0" containsNumber="1" containsInteger="1" minValue="81" maxValue="246"/>
    </cacheField>
    <cacheField name="New Customers" numFmtId="0">
      <sharedItems containsSemiMixedTypes="0" containsString="0" containsNumber="1" containsInteger="1" minValue="20" maxValue="70"/>
    </cacheField>
    <cacheField name="Loan Disbursed" numFmtId="0">
      <sharedItems containsMixedTypes="1" containsNumber="1" containsInteger="1" minValue="2643255" maxValue="4932904"/>
    </cacheField>
    <cacheField name="Interest Earned" numFmtId="0">
      <sharedItems containsSemiMixedTypes="0" containsString="0" containsNumber="1" containsInteger="1" minValue="10061" maxValue="59574"/>
    </cacheField>
    <cacheField name="Defaults" numFmtId="0">
      <sharedItems containsSemiMixedTypes="0" containsString="0" containsNumber="1" containsInteger="1" minValue="0" maxValue="10"/>
    </cacheField>
  </cacheFields>
  <extLst>
    <ext xmlns:x14="http://schemas.microsoft.com/office/spreadsheetml/2009/9/main" uri="{725AE2AE-9491-48be-B2B4-4EB974FC3084}">
      <x14:pivotCacheDefinition pivotCacheId="8086266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x v="0"/>
    <x v="0"/>
    <x v="0"/>
    <x v="0"/>
    <n v="118124"/>
    <n v="39647"/>
    <n v="189"/>
    <n v="40"/>
    <n v="4932904"/>
    <n v="49364"/>
    <n v="4"/>
  </r>
  <r>
    <x v="0"/>
    <x v="0"/>
    <x v="1"/>
    <x v="1"/>
    <n v="110882"/>
    <n v="10823"/>
    <n v="242"/>
    <n v="43"/>
    <s v="-"/>
    <n v="18161"/>
    <n v="1"/>
  </r>
  <r>
    <x v="0"/>
    <x v="0"/>
    <x v="2"/>
    <x v="2"/>
    <n v="57677"/>
    <n v="113656"/>
    <n v="115"/>
    <n v="67"/>
    <s v="-"/>
    <n v="13605"/>
    <n v="0"/>
  </r>
  <r>
    <x v="0"/>
    <x v="1"/>
    <x v="0"/>
    <x v="3"/>
    <n v="83268"/>
    <n v="21162"/>
    <n v="166"/>
    <n v="34"/>
    <n v="4280801"/>
    <n v="55298"/>
    <n v="5"/>
  </r>
  <r>
    <x v="0"/>
    <x v="1"/>
    <x v="1"/>
    <x v="4"/>
    <n v="91891"/>
    <n v="12198"/>
    <n v="165"/>
    <n v="29"/>
    <s v="-"/>
    <n v="19045"/>
    <n v="3"/>
  </r>
  <r>
    <x v="0"/>
    <x v="1"/>
    <x v="2"/>
    <x v="5"/>
    <n v="99911"/>
    <n v="55389"/>
    <n v="96"/>
    <n v="44"/>
    <s v="-"/>
    <n v="11934"/>
    <n v="1"/>
  </r>
  <r>
    <x v="0"/>
    <x v="2"/>
    <x v="0"/>
    <x v="6"/>
    <n v="60045"/>
    <n v="126829"/>
    <n v="87"/>
    <n v="21"/>
    <n v="3334417"/>
    <n v="53928"/>
    <n v="10"/>
  </r>
  <r>
    <x v="0"/>
    <x v="2"/>
    <x v="1"/>
    <x v="7"/>
    <n v="80270"/>
    <n v="-12653"/>
    <n v="242"/>
    <n v="59"/>
    <s v="-"/>
    <n v="27409"/>
    <n v="2"/>
  </r>
  <r>
    <x v="0"/>
    <x v="2"/>
    <x v="2"/>
    <x v="8"/>
    <n v="32987"/>
    <n v="70215"/>
    <n v="83"/>
    <n v="62"/>
    <s v="-"/>
    <n v="15202"/>
    <n v="2"/>
  </r>
  <r>
    <x v="0"/>
    <x v="3"/>
    <x v="0"/>
    <x v="9"/>
    <n v="54186"/>
    <n v="73405"/>
    <n v="128"/>
    <n v="65"/>
    <n v="2892256"/>
    <n v="58957"/>
    <n v="7"/>
  </r>
  <r>
    <x v="0"/>
    <x v="3"/>
    <x v="1"/>
    <x v="10"/>
    <n v="87943"/>
    <n v="51295"/>
    <n v="147"/>
    <n v="37"/>
    <s v="-"/>
    <n v="23927"/>
    <n v="4"/>
  </r>
  <r>
    <x v="0"/>
    <x v="3"/>
    <x v="2"/>
    <x v="11"/>
    <n v="112481"/>
    <n v="25842"/>
    <n v="94"/>
    <n v="25"/>
    <s v="-"/>
    <n v="18764"/>
    <n v="1"/>
  </r>
  <r>
    <x v="1"/>
    <x v="0"/>
    <x v="0"/>
    <x v="12"/>
    <n v="41578"/>
    <n v="88571"/>
    <n v="238"/>
    <n v="39"/>
    <n v="3185327"/>
    <n v="39656"/>
    <n v="4"/>
  </r>
  <r>
    <x v="1"/>
    <x v="0"/>
    <x v="1"/>
    <x v="13"/>
    <n v="69538"/>
    <n v="86818"/>
    <n v="105"/>
    <n v="40"/>
    <s v="-"/>
    <n v="27568"/>
    <n v="2"/>
  </r>
  <r>
    <x v="1"/>
    <x v="0"/>
    <x v="2"/>
    <x v="14"/>
    <n v="90284"/>
    <n v="-27312"/>
    <n v="84"/>
    <n v="29"/>
    <s v="-"/>
    <n v="17349"/>
    <n v="0"/>
  </r>
  <r>
    <x v="1"/>
    <x v="1"/>
    <x v="0"/>
    <x v="15"/>
    <n v="91211"/>
    <n v="78488"/>
    <n v="225"/>
    <n v="25"/>
    <n v="4171631"/>
    <n v="30448"/>
    <n v="9"/>
  </r>
  <r>
    <x v="1"/>
    <x v="1"/>
    <x v="1"/>
    <x v="16"/>
    <n v="66509"/>
    <n v="130781"/>
    <n v="223"/>
    <n v="32"/>
    <s v="-"/>
    <n v="16294"/>
    <n v="0"/>
  </r>
  <r>
    <x v="1"/>
    <x v="1"/>
    <x v="2"/>
    <x v="17"/>
    <n v="41362"/>
    <n v="148416"/>
    <n v="176"/>
    <n v="66"/>
    <s v="-"/>
    <n v="14306"/>
    <n v="0"/>
  </r>
  <r>
    <x v="1"/>
    <x v="2"/>
    <x v="0"/>
    <x v="18"/>
    <n v="117114"/>
    <n v="38820"/>
    <n v="130"/>
    <n v="41"/>
    <n v="2946169"/>
    <n v="38626"/>
    <n v="4"/>
  </r>
  <r>
    <x v="1"/>
    <x v="2"/>
    <x v="1"/>
    <x v="19"/>
    <n v="58326"/>
    <n v="82273"/>
    <n v="177"/>
    <n v="21"/>
    <s v="-"/>
    <n v="23892"/>
    <n v="3"/>
  </r>
  <r>
    <x v="1"/>
    <x v="2"/>
    <x v="2"/>
    <x v="20"/>
    <n v="52760"/>
    <n v="98700"/>
    <n v="127"/>
    <n v="46"/>
    <s v="-"/>
    <n v="16447"/>
    <n v="0"/>
  </r>
  <r>
    <x v="1"/>
    <x v="3"/>
    <x v="0"/>
    <x v="21"/>
    <n v="83229"/>
    <n v="86927"/>
    <n v="133"/>
    <n v="67"/>
    <n v="4279883"/>
    <n v="45688"/>
    <n v="6"/>
  </r>
  <r>
    <x v="1"/>
    <x v="3"/>
    <x v="1"/>
    <x v="22"/>
    <n v="116458"/>
    <n v="-48484"/>
    <n v="143"/>
    <n v="57"/>
    <s v="-"/>
    <n v="15977"/>
    <n v="0"/>
  </r>
  <r>
    <x v="1"/>
    <x v="3"/>
    <x v="2"/>
    <x v="23"/>
    <n v="74320"/>
    <n v="62310"/>
    <n v="91"/>
    <n v="30"/>
    <s v="-"/>
    <n v="13366"/>
    <n v="0"/>
  </r>
  <r>
    <x v="2"/>
    <x v="0"/>
    <x v="0"/>
    <x v="24"/>
    <n v="90432"/>
    <n v="-1984"/>
    <n v="215"/>
    <n v="42"/>
    <n v="3087217"/>
    <n v="54890"/>
    <n v="4"/>
  </r>
  <r>
    <x v="2"/>
    <x v="0"/>
    <x v="1"/>
    <x v="25"/>
    <n v="101470"/>
    <n v="33081"/>
    <n v="91"/>
    <n v="54"/>
    <s v="-"/>
    <n v="16169"/>
    <n v="3"/>
  </r>
  <r>
    <x v="2"/>
    <x v="0"/>
    <x v="2"/>
    <x v="26"/>
    <n v="45000"/>
    <n v="72558"/>
    <n v="118"/>
    <n v="29"/>
    <s v="-"/>
    <n v="17422"/>
    <n v="0"/>
  </r>
  <r>
    <x v="2"/>
    <x v="1"/>
    <x v="0"/>
    <x v="27"/>
    <n v="98077"/>
    <n v="22054"/>
    <n v="193"/>
    <n v="56"/>
    <n v="4569182"/>
    <n v="38738"/>
    <n v="8"/>
  </r>
  <r>
    <x v="2"/>
    <x v="1"/>
    <x v="1"/>
    <x v="28"/>
    <n v="80193"/>
    <n v="-3835"/>
    <n v="176"/>
    <n v="64"/>
    <s v="-"/>
    <n v="19243"/>
    <n v="3"/>
  </r>
  <r>
    <x v="2"/>
    <x v="1"/>
    <x v="2"/>
    <x v="29"/>
    <n v="46548"/>
    <n v="124506"/>
    <n v="151"/>
    <n v="57"/>
    <s v="-"/>
    <n v="11500"/>
    <n v="2"/>
  </r>
  <r>
    <x v="2"/>
    <x v="2"/>
    <x v="0"/>
    <x v="30"/>
    <n v="68292"/>
    <n v="106628"/>
    <n v="231"/>
    <n v="69"/>
    <n v="3696428"/>
    <n v="42624"/>
    <n v="7"/>
  </r>
  <r>
    <x v="2"/>
    <x v="2"/>
    <x v="1"/>
    <x v="31"/>
    <n v="84852"/>
    <n v="103528"/>
    <n v="176"/>
    <n v="59"/>
    <s v="-"/>
    <n v="17946"/>
    <n v="0"/>
  </r>
  <r>
    <x v="2"/>
    <x v="2"/>
    <x v="2"/>
    <x v="32"/>
    <n v="45966"/>
    <n v="103884"/>
    <n v="85"/>
    <n v="24"/>
    <s v="-"/>
    <n v="16921"/>
    <n v="2"/>
  </r>
  <r>
    <x v="2"/>
    <x v="3"/>
    <x v="0"/>
    <x v="33"/>
    <n v="30985"/>
    <n v="157277"/>
    <n v="202"/>
    <n v="55"/>
    <n v="4281420"/>
    <n v="30955"/>
    <n v="6"/>
  </r>
  <r>
    <x v="2"/>
    <x v="3"/>
    <x v="1"/>
    <x v="34"/>
    <n v="57171"/>
    <n v="17149"/>
    <n v="224"/>
    <n v="50"/>
    <s v="-"/>
    <n v="19845"/>
    <n v="2"/>
  </r>
  <r>
    <x v="2"/>
    <x v="3"/>
    <x v="2"/>
    <x v="35"/>
    <n v="32939"/>
    <n v="118774"/>
    <n v="225"/>
    <n v="55"/>
    <s v="-"/>
    <n v="10520"/>
    <n v="2"/>
  </r>
  <r>
    <x v="3"/>
    <x v="0"/>
    <x v="0"/>
    <x v="36"/>
    <n v="36798"/>
    <n v="66450"/>
    <n v="143"/>
    <n v="69"/>
    <n v="3992736"/>
    <n v="59574"/>
    <n v="7"/>
  </r>
  <r>
    <x v="3"/>
    <x v="0"/>
    <x v="1"/>
    <x v="37"/>
    <n v="50770"/>
    <n v="100819"/>
    <n v="105"/>
    <n v="46"/>
    <s v="-"/>
    <n v="22077"/>
    <n v="2"/>
  </r>
  <r>
    <x v="3"/>
    <x v="0"/>
    <x v="2"/>
    <x v="38"/>
    <n v="80843"/>
    <n v="87530"/>
    <n v="154"/>
    <n v="21"/>
    <s v="-"/>
    <n v="11313"/>
    <n v="1"/>
  </r>
  <r>
    <x v="3"/>
    <x v="1"/>
    <x v="0"/>
    <x v="39"/>
    <n v="100712"/>
    <n v="76043"/>
    <n v="144"/>
    <n v="50"/>
    <n v="3245135"/>
    <n v="33432"/>
    <n v="6"/>
  </r>
  <r>
    <x v="3"/>
    <x v="1"/>
    <x v="1"/>
    <x v="40"/>
    <n v="56792"/>
    <n v="93705"/>
    <n v="94"/>
    <n v="50"/>
    <s v="-"/>
    <n v="15267"/>
    <n v="4"/>
  </r>
  <r>
    <x v="3"/>
    <x v="1"/>
    <x v="2"/>
    <x v="41"/>
    <n v="67542"/>
    <n v="76875"/>
    <n v="154"/>
    <n v="53"/>
    <s v="-"/>
    <n v="13235"/>
    <n v="0"/>
  </r>
  <r>
    <x v="3"/>
    <x v="2"/>
    <x v="0"/>
    <x v="42"/>
    <n v="80244"/>
    <n v="79994"/>
    <n v="174"/>
    <n v="51"/>
    <n v="4378302"/>
    <n v="47100"/>
    <n v="3"/>
  </r>
  <r>
    <x v="3"/>
    <x v="2"/>
    <x v="1"/>
    <x v="43"/>
    <n v="62445"/>
    <n v="104439"/>
    <n v="187"/>
    <n v="37"/>
    <s v="-"/>
    <n v="21939"/>
    <n v="3"/>
  </r>
  <r>
    <x v="3"/>
    <x v="2"/>
    <x v="2"/>
    <x v="44"/>
    <n v="102326"/>
    <n v="9907"/>
    <n v="161"/>
    <n v="26"/>
    <s v="-"/>
    <n v="11670"/>
    <n v="0"/>
  </r>
  <r>
    <x v="3"/>
    <x v="3"/>
    <x v="0"/>
    <x v="45"/>
    <n v="49882"/>
    <n v="137270"/>
    <n v="167"/>
    <n v="50"/>
    <n v="2643255"/>
    <n v="43361"/>
    <n v="3"/>
  </r>
  <r>
    <x v="3"/>
    <x v="3"/>
    <x v="1"/>
    <x v="46"/>
    <n v="84602"/>
    <n v="35802"/>
    <n v="195"/>
    <n v="26"/>
    <s v="-"/>
    <n v="26556"/>
    <n v="4"/>
  </r>
  <r>
    <x v="3"/>
    <x v="3"/>
    <x v="2"/>
    <x v="47"/>
    <n v="62378"/>
    <n v="34492"/>
    <n v="146"/>
    <n v="38"/>
    <s v="-"/>
    <n v="12827"/>
    <n v="2"/>
  </r>
  <r>
    <x v="4"/>
    <x v="0"/>
    <x v="0"/>
    <x v="48"/>
    <n v="61961"/>
    <n v="113117"/>
    <n v="182"/>
    <n v="23"/>
    <n v="2702181"/>
    <n v="37223"/>
    <n v="7"/>
  </r>
  <r>
    <x v="4"/>
    <x v="0"/>
    <x v="1"/>
    <x v="49"/>
    <n v="112076"/>
    <n v="80742"/>
    <n v="103"/>
    <n v="25"/>
    <s v="-"/>
    <n v="16868"/>
    <n v="2"/>
  </r>
  <r>
    <x v="4"/>
    <x v="0"/>
    <x v="2"/>
    <x v="50"/>
    <n v="84508"/>
    <n v="108425"/>
    <n v="150"/>
    <n v="41"/>
    <s v="-"/>
    <n v="19441"/>
    <n v="1"/>
  </r>
  <r>
    <x v="4"/>
    <x v="1"/>
    <x v="0"/>
    <x v="51"/>
    <n v="78908"/>
    <n v="9236"/>
    <n v="142"/>
    <n v="47"/>
    <n v="3888976"/>
    <n v="37667"/>
    <n v="4"/>
  </r>
  <r>
    <x v="4"/>
    <x v="1"/>
    <x v="1"/>
    <x v="52"/>
    <n v="44017"/>
    <n v="30273"/>
    <n v="228"/>
    <n v="47"/>
    <s v="-"/>
    <n v="22479"/>
    <n v="3"/>
  </r>
  <r>
    <x v="4"/>
    <x v="1"/>
    <x v="2"/>
    <x v="53"/>
    <n v="74529"/>
    <n v="48219"/>
    <n v="173"/>
    <n v="42"/>
    <s v="-"/>
    <n v="13630"/>
    <n v="2"/>
  </r>
  <r>
    <x v="4"/>
    <x v="2"/>
    <x v="0"/>
    <x v="54"/>
    <n v="96952"/>
    <n v="3415"/>
    <n v="122"/>
    <n v="23"/>
    <n v="3199007"/>
    <n v="49843"/>
    <n v="3"/>
  </r>
  <r>
    <x v="4"/>
    <x v="2"/>
    <x v="1"/>
    <x v="55"/>
    <n v="89700"/>
    <n v="11829"/>
    <n v="144"/>
    <n v="28"/>
    <s v="-"/>
    <n v="29606"/>
    <n v="1"/>
  </r>
  <r>
    <x v="4"/>
    <x v="2"/>
    <x v="2"/>
    <x v="56"/>
    <n v="115217"/>
    <n v="-11887"/>
    <n v="190"/>
    <n v="59"/>
    <s v="-"/>
    <n v="11085"/>
    <n v="1"/>
  </r>
  <r>
    <x v="4"/>
    <x v="3"/>
    <x v="0"/>
    <x v="57"/>
    <n v="70559"/>
    <n v="118569"/>
    <n v="181"/>
    <n v="40"/>
    <n v="4534021"/>
    <n v="53324"/>
    <n v="10"/>
  </r>
  <r>
    <x v="4"/>
    <x v="3"/>
    <x v="1"/>
    <x v="58"/>
    <n v="68222"/>
    <n v="40645"/>
    <n v="177"/>
    <n v="53"/>
    <s v="-"/>
    <n v="25614"/>
    <n v="1"/>
  </r>
  <r>
    <x v="4"/>
    <x v="3"/>
    <x v="2"/>
    <x v="59"/>
    <n v="98162"/>
    <n v="47713"/>
    <n v="226"/>
    <n v="58"/>
    <s v="-"/>
    <n v="14101"/>
    <n v="2"/>
  </r>
  <r>
    <x v="5"/>
    <x v="0"/>
    <x v="0"/>
    <x v="60"/>
    <n v="102809"/>
    <n v="-23334"/>
    <n v="154"/>
    <n v="21"/>
    <n v="2654969"/>
    <n v="45307"/>
    <n v="3"/>
  </r>
  <r>
    <x v="5"/>
    <x v="0"/>
    <x v="1"/>
    <x v="61"/>
    <n v="56724"/>
    <n v="54023"/>
    <n v="134"/>
    <n v="27"/>
    <s v="-"/>
    <n v="23610"/>
    <n v="2"/>
  </r>
  <r>
    <x v="5"/>
    <x v="0"/>
    <x v="2"/>
    <x v="62"/>
    <n v="77106"/>
    <n v="26992"/>
    <n v="161"/>
    <n v="62"/>
    <s v="-"/>
    <n v="11800"/>
    <n v="0"/>
  </r>
  <r>
    <x v="5"/>
    <x v="1"/>
    <x v="0"/>
    <x v="63"/>
    <n v="72848"/>
    <n v="78082"/>
    <n v="242"/>
    <n v="65"/>
    <n v="2736177"/>
    <n v="46041"/>
    <n v="5"/>
  </r>
  <r>
    <x v="5"/>
    <x v="1"/>
    <x v="1"/>
    <x v="64"/>
    <n v="44609"/>
    <n v="51821"/>
    <n v="181"/>
    <n v="24"/>
    <s v="-"/>
    <n v="26377"/>
    <n v="3"/>
  </r>
  <r>
    <x v="5"/>
    <x v="1"/>
    <x v="2"/>
    <x v="65"/>
    <n v="106276"/>
    <n v="-30491"/>
    <n v="166"/>
    <n v="44"/>
    <s v="-"/>
    <n v="10174"/>
    <n v="1"/>
  </r>
  <r>
    <x v="5"/>
    <x v="2"/>
    <x v="0"/>
    <x v="66"/>
    <n v="37685"/>
    <n v="154957"/>
    <n v="116"/>
    <n v="24"/>
    <n v="4217260"/>
    <n v="45946"/>
    <n v="5"/>
  </r>
  <r>
    <x v="5"/>
    <x v="2"/>
    <x v="1"/>
    <x v="67"/>
    <n v="106525"/>
    <n v="-25343"/>
    <n v="91"/>
    <n v="46"/>
    <s v="-"/>
    <n v="25323"/>
    <n v="1"/>
  </r>
  <r>
    <x v="5"/>
    <x v="2"/>
    <x v="2"/>
    <x v="68"/>
    <n v="112939"/>
    <n v="84277"/>
    <n v="121"/>
    <n v="29"/>
    <s v="-"/>
    <n v="12374"/>
    <n v="1"/>
  </r>
  <r>
    <x v="5"/>
    <x v="3"/>
    <x v="0"/>
    <x v="69"/>
    <n v="73989"/>
    <n v="84393"/>
    <n v="127"/>
    <n v="45"/>
    <n v="3733940"/>
    <n v="43928"/>
    <n v="6"/>
  </r>
  <r>
    <x v="5"/>
    <x v="3"/>
    <x v="1"/>
    <x v="70"/>
    <n v="116043"/>
    <n v="10692"/>
    <n v="120"/>
    <n v="35"/>
    <s v="-"/>
    <n v="26019"/>
    <n v="1"/>
  </r>
  <r>
    <x v="5"/>
    <x v="3"/>
    <x v="2"/>
    <x v="71"/>
    <n v="81604"/>
    <n v="37655"/>
    <n v="180"/>
    <n v="70"/>
    <s v="-"/>
    <n v="18579"/>
    <n v="1"/>
  </r>
  <r>
    <x v="6"/>
    <x v="0"/>
    <x v="0"/>
    <x v="72"/>
    <n v="78925"/>
    <n v="-666"/>
    <n v="182"/>
    <n v="57"/>
    <n v="4072812"/>
    <n v="43154"/>
    <n v="4"/>
  </r>
  <r>
    <x v="6"/>
    <x v="0"/>
    <x v="1"/>
    <x v="73"/>
    <n v="58991"/>
    <n v="65023"/>
    <n v="220"/>
    <n v="55"/>
    <s v="-"/>
    <n v="16746"/>
    <n v="1"/>
  </r>
  <r>
    <x v="6"/>
    <x v="0"/>
    <x v="2"/>
    <x v="74"/>
    <n v="83019"/>
    <n v="1997"/>
    <n v="226"/>
    <n v="63"/>
    <s v="-"/>
    <n v="19330"/>
    <n v="0"/>
  </r>
  <r>
    <x v="6"/>
    <x v="1"/>
    <x v="0"/>
    <x v="75"/>
    <n v="32244"/>
    <n v="79228"/>
    <n v="131"/>
    <n v="69"/>
    <n v="4224164"/>
    <n v="48250"/>
    <n v="7"/>
  </r>
  <r>
    <x v="6"/>
    <x v="1"/>
    <x v="1"/>
    <x v="76"/>
    <n v="43634"/>
    <n v="83284"/>
    <n v="124"/>
    <n v="32"/>
    <s v="-"/>
    <n v="22289"/>
    <n v="3"/>
  </r>
  <r>
    <x v="6"/>
    <x v="1"/>
    <x v="2"/>
    <x v="77"/>
    <n v="63363"/>
    <n v="109192"/>
    <n v="141"/>
    <n v="44"/>
    <s v="-"/>
    <n v="10635"/>
    <n v="0"/>
  </r>
  <r>
    <x v="6"/>
    <x v="2"/>
    <x v="0"/>
    <x v="78"/>
    <n v="101131"/>
    <n v="-38939"/>
    <n v="103"/>
    <n v="45"/>
    <n v="4622807"/>
    <n v="44711"/>
    <n v="5"/>
  </r>
  <r>
    <x v="6"/>
    <x v="2"/>
    <x v="1"/>
    <x v="79"/>
    <n v="32643"/>
    <n v="164692"/>
    <n v="169"/>
    <n v="70"/>
    <s v="-"/>
    <n v="19570"/>
    <n v="3"/>
  </r>
  <r>
    <x v="6"/>
    <x v="2"/>
    <x v="2"/>
    <x v="80"/>
    <n v="113428"/>
    <n v="-52045"/>
    <n v="217"/>
    <n v="58"/>
    <s v="-"/>
    <n v="12466"/>
    <n v="2"/>
  </r>
  <r>
    <x v="6"/>
    <x v="3"/>
    <x v="0"/>
    <x v="81"/>
    <n v="44476"/>
    <n v="75574"/>
    <n v="244"/>
    <n v="26"/>
    <n v="3131805"/>
    <n v="46866"/>
    <n v="4"/>
  </r>
  <r>
    <x v="6"/>
    <x v="3"/>
    <x v="1"/>
    <x v="82"/>
    <n v="88357"/>
    <n v="5"/>
    <n v="192"/>
    <n v="52"/>
    <s v="-"/>
    <n v="25475"/>
    <n v="3"/>
  </r>
  <r>
    <x v="6"/>
    <x v="3"/>
    <x v="2"/>
    <x v="83"/>
    <n v="81392"/>
    <n v="45499"/>
    <n v="228"/>
    <n v="61"/>
    <s v="-"/>
    <n v="13569"/>
    <n v="0"/>
  </r>
  <r>
    <x v="7"/>
    <x v="0"/>
    <x v="0"/>
    <x v="84"/>
    <n v="37346"/>
    <n v="155632"/>
    <n v="216"/>
    <n v="41"/>
    <n v="4771224"/>
    <n v="41294"/>
    <n v="10"/>
  </r>
  <r>
    <x v="7"/>
    <x v="0"/>
    <x v="1"/>
    <x v="85"/>
    <n v="118118"/>
    <n v="-34192"/>
    <n v="159"/>
    <n v="39"/>
    <s v="-"/>
    <n v="16269"/>
    <n v="2"/>
  </r>
  <r>
    <x v="7"/>
    <x v="0"/>
    <x v="2"/>
    <x v="86"/>
    <n v="31618"/>
    <n v="93673"/>
    <n v="174"/>
    <n v="57"/>
    <s v="-"/>
    <n v="19833"/>
    <n v="2"/>
  </r>
  <r>
    <x v="7"/>
    <x v="1"/>
    <x v="0"/>
    <x v="87"/>
    <n v="50725"/>
    <n v="133589"/>
    <n v="227"/>
    <n v="28"/>
    <n v="4644907"/>
    <n v="33291"/>
    <n v="7"/>
  </r>
  <r>
    <x v="7"/>
    <x v="1"/>
    <x v="1"/>
    <x v="88"/>
    <n v="66366"/>
    <n v="33285"/>
    <n v="232"/>
    <n v="43"/>
    <s v="-"/>
    <n v="23732"/>
    <n v="3"/>
  </r>
  <r>
    <x v="7"/>
    <x v="1"/>
    <x v="2"/>
    <x v="89"/>
    <n v="92339"/>
    <n v="74452"/>
    <n v="151"/>
    <n v="29"/>
    <s v="-"/>
    <n v="11601"/>
    <n v="1"/>
  </r>
  <r>
    <x v="7"/>
    <x v="2"/>
    <x v="0"/>
    <x v="90"/>
    <n v="45781"/>
    <n v="59951"/>
    <n v="156"/>
    <n v="51"/>
    <n v="4464352"/>
    <n v="46958"/>
    <n v="10"/>
  </r>
  <r>
    <x v="7"/>
    <x v="2"/>
    <x v="1"/>
    <x v="91"/>
    <n v="35981"/>
    <n v="59610"/>
    <n v="202"/>
    <n v="67"/>
    <s v="-"/>
    <n v="19640"/>
    <n v="2"/>
  </r>
  <r>
    <x v="7"/>
    <x v="2"/>
    <x v="2"/>
    <x v="92"/>
    <n v="69498"/>
    <n v="90357"/>
    <n v="218"/>
    <n v="58"/>
    <s v="-"/>
    <n v="11305"/>
    <n v="0"/>
  </r>
  <r>
    <x v="7"/>
    <x v="3"/>
    <x v="0"/>
    <x v="93"/>
    <n v="50562"/>
    <n v="34980"/>
    <n v="141"/>
    <n v="39"/>
    <n v="4089842"/>
    <n v="53533"/>
    <n v="7"/>
  </r>
  <r>
    <x v="7"/>
    <x v="3"/>
    <x v="1"/>
    <x v="94"/>
    <n v="33146"/>
    <n v="131859"/>
    <n v="147"/>
    <n v="69"/>
    <s v="-"/>
    <n v="21381"/>
    <n v="2"/>
  </r>
  <r>
    <x v="7"/>
    <x v="3"/>
    <x v="2"/>
    <x v="95"/>
    <n v="51857"/>
    <n v="141857"/>
    <n v="130"/>
    <n v="21"/>
    <s v="-"/>
    <n v="10873"/>
    <n v="0"/>
  </r>
  <r>
    <x v="8"/>
    <x v="0"/>
    <x v="0"/>
    <x v="96"/>
    <n v="92451"/>
    <n v="75643"/>
    <n v="155"/>
    <n v="58"/>
    <n v="4932548"/>
    <n v="45547"/>
    <n v="9"/>
  </r>
  <r>
    <x v="8"/>
    <x v="0"/>
    <x v="1"/>
    <x v="97"/>
    <n v="30300"/>
    <n v="111957"/>
    <n v="200"/>
    <n v="52"/>
    <s v="-"/>
    <n v="15592"/>
    <n v="2"/>
  </r>
  <r>
    <x v="8"/>
    <x v="0"/>
    <x v="2"/>
    <x v="98"/>
    <n v="47379"/>
    <n v="108968"/>
    <n v="98"/>
    <n v="20"/>
    <s v="-"/>
    <n v="16525"/>
    <n v="1"/>
  </r>
  <r>
    <x v="8"/>
    <x v="1"/>
    <x v="0"/>
    <x v="99"/>
    <n v="67342"/>
    <n v="109042"/>
    <n v="228"/>
    <n v="28"/>
    <n v="3042417"/>
    <n v="36580"/>
    <n v="10"/>
  </r>
  <r>
    <x v="8"/>
    <x v="1"/>
    <x v="1"/>
    <x v="100"/>
    <n v="53599"/>
    <n v="84759"/>
    <n v="183"/>
    <n v="40"/>
    <s v="-"/>
    <n v="27224"/>
    <n v="4"/>
  </r>
  <r>
    <x v="8"/>
    <x v="1"/>
    <x v="2"/>
    <x v="101"/>
    <n v="44103"/>
    <n v="34500"/>
    <n v="195"/>
    <n v="47"/>
    <s v="-"/>
    <n v="14278"/>
    <n v="1"/>
  </r>
  <r>
    <x v="8"/>
    <x v="2"/>
    <x v="0"/>
    <x v="102"/>
    <n v="76794"/>
    <n v="50137"/>
    <n v="214"/>
    <n v="26"/>
    <n v="2781832"/>
    <n v="47936"/>
    <n v="10"/>
  </r>
  <r>
    <x v="8"/>
    <x v="2"/>
    <x v="1"/>
    <x v="103"/>
    <n v="43428"/>
    <n v="145992"/>
    <n v="202"/>
    <n v="61"/>
    <s v="-"/>
    <n v="21285"/>
    <n v="2"/>
  </r>
  <r>
    <x v="8"/>
    <x v="2"/>
    <x v="2"/>
    <x v="104"/>
    <n v="78062"/>
    <n v="-9625"/>
    <n v="184"/>
    <n v="42"/>
    <s v="-"/>
    <n v="13616"/>
    <n v="0"/>
  </r>
  <r>
    <x v="8"/>
    <x v="3"/>
    <x v="0"/>
    <x v="105"/>
    <n v="65413"/>
    <n v="83999"/>
    <n v="111"/>
    <n v="31"/>
    <n v="3360363"/>
    <n v="43649"/>
    <n v="7"/>
  </r>
  <r>
    <x v="8"/>
    <x v="3"/>
    <x v="1"/>
    <x v="106"/>
    <n v="93604"/>
    <n v="89295"/>
    <n v="95"/>
    <n v="68"/>
    <s v="-"/>
    <n v="21022"/>
    <n v="4"/>
  </r>
  <r>
    <x v="8"/>
    <x v="3"/>
    <x v="2"/>
    <x v="107"/>
    <n v="101912"/>
    <n v="-29140"/>
    <n v="157"/>
    <n v="64"/>
    <s v="-"/>
    <n v="19640"/>
    <n v="1"/>
  </r>
  <r>
    <x v="9"/>
    <x v="0"/>
    <x v="0"/>
    <x v="108"/>
    <n v="116248"/>
    <n v="55461"/>
    <n v="81"/>
    <n v="33"/>
    <n v="4010645"/>
    <n v="42242"/>
    <n v="10"/>
  </r>
  <r>
    <x v="9"/>
    <x v="0"/>
    <x v="1"/>
    <x v="109"/>
    <n v="30016"/>
    <n v="33731"/>
    <n v="117"/>
    <n v="39"/>
    <s v="-"/>
    <n v="16696"/>
    <n v="1"/>
  </r>
  <r>
    <x v="9"/>
    <x v="0"/>
    <x v="2"/>
    <x v="110"/>
    <n v="95314"/>
    <n v="97184"/>
    <n v="85"/>
    <n v="64"/>
    <s v="-"/>
    <n v="15288"/>
    <n v="1"/>
  </r>
  <r>
    <x v="9"/>
    <x v="1"/>
    <x v="0"/>
    <x v="111"/>
    <n v="97113"/>
    <n v="-30781"/>
    <n v="119"/>
    <n v="21"/>
    <n v="3077099"/>
    <n v="37803"/>
    <n v="7"/>
  </r>
  <r>
    <x v="9"/>
    <x v="1"/>
    <x v="1"/>
    <x v="112"/>
    <n v="33972"/>
    <n v="48241"/>
    <n v="230"/>
    <n v="41"/>
    <s v="-"/>
    <n v="28478"/>
    <n v="2"/>
  </r>
  <r>
    <x v="9"/>
    <x v="1"/>
    <x v="2"/>
    <x v="113"/>
    <n v="73132"/>
    <n v="40774"/>
    <n v="160"/>
    <n v="34"/>
    <s v="-"/>
    <n v="10061"/>
    <n v="0"/>
  </r>
  <r>
    <x v="9"/>
    <x v="2"/>
    <x v="0"/>
    <x v="114"/>
    <n v="104932"/>
    <n v="44324"/>
    <n v="86"/>
    <n v="62"/>
    <n v="3583526"/>
    <n v="57774"/>
    <n v="4"/>
  </r>
  <r>
    <x v="9"/>
    <x v="2"/>
    <x v="1"/>
    <x v="115"/>
    <n v="70348"/>
    <n v="586"/>
    <n v="124"/>
    <n v="68"/>
    <s v="-"/>
    <n v="20023"/>
    <n v="0"/>
  </r>
  <r>
    <x v="9"/>
    <x v="2"/>
    <x v="2"/>
    <x v="116"/>
    <n v="91013"/>
    <n v="40646"/>
    <n v="91"/>
    <n v="70"/>
    <s v="-"/>
    <n v="19732"/>
    <n v="1"/>
  </r>
  <r>
    <x v="9"/>
    <x v="3"/>
    <x v="0"/>
    <x v="117"/>
    <n v="49155"/>
    <n v="88514"/>
    <n v="113"/>
    <n v="32"/>
    <n v="4035475"/>
    <n v="48012"/>
    <n v="10"/>
  </r>
  <r>
    <x v="9"/>
    <x v="3"/>
    <x v="1"/>
    <x v="118"/>
    <n v="59261"/>
    <n v="13973"/>
    <n v="216"/>
    <n v="36"/>
    <s v="-"/>
    <n v="18592"/>
    <n v="3"/>
  </r>
  <r>
    <x v="9"/>
    <x v="3"/>
    <x v="2"/>
    <x v="119"/>
    <n v="83382"/>
    <n v="24750"/>
    <n v="121"/>
    <n v="55"/>
    <s v="-"/>
    <n v="17830"/>
    <n v="1"/>
  </r>
  <r>
    <x v="10"/>
    <x v="0"/>
    <x v="0"/>
    <x v="120"/>
    <n v="73949"/>
    <n v="64042"/>
    <n v="194"/>
    <n v="22"/>
    <n v="3272329"/>
    <n v="32780"/>
    <n v="9"/>
  </r>
  <r>
    <x v="10"/>
    <x v="0"/>
    <x v="1"/>
    <x v="121"/>
    <n v="38217"/>
    <n v="71500"/>
    <n v="143"/>
    <n v="28"/>
    <s v="-"/>
    <n v="27361"/>
    <n v="0"/>
  </r>
  <r>
    <x v="10"/>
    <x v="0"/>
    <x v="2"/>
    <x v="122"/>
    <n v="111485"/>
    <n v="-30296"/>
    <n v="187"/>
    <n v="20"/>
    <s v="-"/>
    <n v="14535"/>
    <n v="1"/>
  </r>
  <r>
    <x v="10"/>
    <x v="1"/>
    <x v="0"/>
    <x v="123"/>
    <n v="84828"/>
    <n v="4467"/>
    <n v="163"/>
    <n v="33"/>
    <n v="3399840"/>
    <n v="46867"/>
    <n v="6"/>
  </r>
  <r>
    <x v="10"/>
    <x v="1"/>
    <x v="1"/>
    <x v="124"/>
    <n v="62208"/>
    <n v="44345"/>
    <n v="117"/>
    <n v="69"/>
    <s v="-"/>
    <n v="15469"/>
    <n v="3"/>
  </r>
  <r>
    <x v="10"/>
    <x v="1"/>
    <x v="2"/>
    <x v="125"/>
    <n v="111566"/>
    <n v="11028"/>
    <n v="246"/>
    <n v="51"/>
    <s v="-"/>
    <n v="13030"/>
    <n v="2"/>
  </r>
  <r>
    <x v="10"/>
    <x v="2"/>
    <x v="0"/>
    <x v="126"/>
    <n v="98725"/>
    <n v="13667"/>
    <n v="97"/>
    <n v="58"/>
    <n v="2917170"/>
    <n v="34140"/>
    <n v="9"/>
  </r>
  <r>
    <x v="10"/>
    <x v="2"/>
    <x v="1"/>
    <x v="127"/>
    <n v="33117"/>
    <n v="159225"/>
    <n v="144"/>
    <n v="36"/>
    <s v="-"/>
    <n v="28586"/>
    <n v="2"/>
  </r>
  <r>
    <x v="10"/>
    <x v="2"/>
    <x v="2"/>
    <x v="128"/>
    <n v="93951"/>
    <n v="-12745"/>
    <n v="147"/>
    <n v="48"/>
    <s v="-"/>
    <n v="11752"/>
    <n v="2"/>
  </r>
  <r>
    <x v="10"/>
    <x v="3"/>
    <x v="0"/>
    <x v="129"/>
    <n v="90663"/>
    <n v="-15350"/>
    <n v="181"/>
    <n v="38"/>
    <n v="4859555"/>
    <n v="34424"/>
    <n v="9"/>
  </r>
  <r>
    <x v="10"/>
    <x v="3"/>
    <x v="1"/>
    <x v="130"/>
    <n v="89626"/>
    <n v="84145"/>
    <n v="225"/>
    <n v="53"/>
    <s v="-"/>
    <n v="16971"/>
    <n v="1"/>
  </r>
  <r>
    <x v="10"/>
    <x v="3"/>
    <x v="2"/>
    <x v="131"/>
    <n v="109259"/>
    <n v="11606"/>
    <n v="157"/>
    <n v="45"/>
    <s v="-"/>
    <n v="12005"/>
    <n v="2"/>
  </r>
  <r>
    <x v="11"/>
    <x v="0"/>
    <x v="0"/>
    <x v="132"/>
    <n v="41500"/>
    <n v="58242"/>
    <n v="122"/>
    <n v="47"/>
    <n v="4739297"/>
    <n v="40289"/>
    <n v="5"/>
  </r>
  <r>
    <x v="11"/>
    <x v="0"/>
    <x v="1"/>
    <x v="133"/>
    <n v="56311"/>
    <n v="42897"/>
    <n v="118"/>
    <n v="28"/>
    <s v="-"/>
    <n v="21274"/>
    <n v="0"/>
  </r>
  <r>
    <x v="11"/>
    <x v="0"/>
    <x v="2"/>
    <x v="134"/>
    <n v="100201"/>
    <n v="41760"/>
    <n v="155"/>
    <n v="65"/>
    <s v="-"/>
    <n v="14708"/>
    <n v="1"/>
  </r>
  <r>
    <x v="11"/>
    <x v="1"/>
    <x v="0"/>
    <x v="135"/>
    <n v="69666"/>
    <n v="63948"/>
    <n v="115"/>
    <n v="23"/>
    <n v="4309621"/>
    <n v="46799"/>
    <n v="6"/>
  </r>
  <r>
    <x v="11"/>
    <x v="1"/>
    <x v="1"/>
    <x v="136"/>
    <n v="66853"/>
    <n v="83449"/>
    <n v="89"/>
    <n v="42"/>
    <s v="-"/>
    <n v="23213"/>
    <n v="1"/>
  </r>
  <r>
    <x v="11"/>
    <x v="1"/>
    <x v="2"/>
    <x v="137"/>
    <n v="108187"/>
    <n v="71821"/>
    <n v="174"/>
    <n v="37"/>
    <s v="-"/>
    <n v="11524"/>
    <n v="1"/>
  </r>
  <r>
    <x v="11"/>
    <x v="2"/>
    <x v="0"/>
    <x v="138"/>
    <n v="101735"/>
    <n v="22750"/>
    <n v="193"/>
    <n v="45"/>
    <n v="2771981"/>
    <n v="40501"/>
    <n v="10"/>
  </r>
  <r>
    <x v="11"/>
    <x v="2"/>
    <x v="1"/>
    <x v="139"/>
    <n v="73913"/>
    <n v="52336"/>
    <n v="189"/>
    <n v="54"/>
    <s v="-"/>
    <n v="15308"/>
    <n v="3"/>
  </r>
  <r>
    <x v="11"/>
    <x v="2"/>
    <x v="2"/>
    <x v="140"/>
    <n v="56247"/>
    <n v="106549"/>
    <n v="227"/>
    <n v="29"/>
    <s v="-"/>
    <n v="18712"/>
    <n v="2"/>
  </r>
  <r>
    <x v="11"/>
    <x v="3"/>
    <x v="0"/>
    <x v="141"/>
    <n v="58121"/>
    <n v="133066"/>
    <n v="124"/>
    <n v="59"/>
    <n v="3278444"/>
    <n v="51965"/>
    <n v="5"/>
  </r>
  <r>
    <x v="11"/>
    <x v="3"/>
    <x v="1"/>
    <x v="142"/>
    <n v="45015"/>
    <n v="32883"/>
    <n v="144"/>
    <n v="22"/>
    <s v="-"/>
    <n v="26022"/>
    <n v="1"/>
  </r>
  <r>
    <x v="11"/>
    <x v="3"/>
    <x v="2"/>
    <x v="143"/>
    <n v="117852"/>
    <n v="2148"/>
    <n v="220"/>
    <n v="34"/>
    <s v="-"/>
    <n v="1104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7879A0-EDA2-41A0-AFD5-CEDB09CE3303}" name="PivotTable7"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42:B46" firstHeaderRow="1" firstDataRow="1" firstDataCol="1"/>
  <pivotFields count="11">
    <pivotField showAll="0"/>
    <pivotField showAll="0">
      <items count="5">
        <item x="2"/>
        <item x="0"/>
        <item x="1"/>
        <item x="3"/>
        <item t="default"/>
      </items>
    </pivotField>
    <pivotField axis="axisRow" showAll="0">
      <items count="4">
        <item x="1"/>
        <item x="2"/>
        <item x="0"/>
        <item t="default"/>
      </items>
    </pivotField>
    <pivotField showAll="0"/>
    <pivotField dataField="1"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Sum of Expenses"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B255E6-D486-4DD7-AE02-30A204F650A8}" name="PivotTable5"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I17:N31" firstHeaderRow="1" firstDataRow="2" firstDataCol="1"/>
  <pivotFields count="11">
    <pivotField axis="axisRow" showAll="0">
      <items count="13">
        <item x="0"/>
        <item x="1"/>
        <item x="2"/>
        <item x="3"/>
        <item x="4"/>
        <item x="5"/>
        <item x="6"/>
        <item x="7"/>
        <item x="8"/>
        <item x="9"/>
        <item x="10"/>
        <item x="11"/>
        <item t="default"/>
      </items>
    </pivotField>
    <pivotField axis="axisCol" showAll="0">
      <items count="5">
        <item x="2"/>
        <item x="0"/>
        <item x="1"/>
        <item x="3"/>
        <item t="default"/>
      </items>
    </pivotField>
    <pivotField showAll="0"/>
    <pivotField dataField="1" showAll="0"/>
    <pivotField showAll="0"/>
    <pivotField showAll="0"/>
    <pivotField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Fields count="1">
    <field x="1"/>
  </colFields>
  <colItems count="5">
    <i>
      <x/>
    </i>
    <i>
      <x v="1"/>
    </i>
    <i>
      <x v="2"/>
    </i>
    <i>
      <x v="3"/>
    </i>
    <i t="grand">
      <x/>
    </i>
  </colItems>
  <dataFields count="1">
    <dataField name="Sum of Revenue" fld="3"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2"/>
          </reference>
        </references>
      </pivotArea>
    </chartFormat>
    <chartFormat chart="3"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D38E86-2E5B-4F1B-921D-CDFCBD2DB123}" name="PivotTable4"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5:B38" firstHeaderRow="1" firstDataRow="1" firstDataCol="1"/>
  <pivotFields count="11">
    <pivotField axis="axisRow" showAll="0">
      <items count="13">
        <item x="0"/>
        <item x="1"/>
        <item x="2"/>
        <item x="3"/>
        <item x="4"/>
        <item x="5"/>
        <item x="6"/>
        <item x="7"/>
        <item x="8"/>
        <item x="9"/>
        <item x="10"/>
        <item x="11"/>
        <item t="default"/>
      </items>
    </pivotField>
    <pivotField showAll="0">
      <items count="5">
        <item x="2"/>
        <item x="0"/>
        <item x="1"/>
        <item x="3"/>
        <item t="default"/>
      </items>
    </pivotField>
    <pivotField showAll="0"/>
    <pivotField showAll="0"/>
    <pivotField showAll="0"/>
    <pivotField dataField="1" showAll="0"/>
    <pivotField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Profit"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9E8D50-470E-432C-840D-B337133AFA7A}" name="PivotTable3"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1:J14" firstHeaderRow="1" firstDataRow="1" firstDataCol="1"/>
  <pivotFields count="11">
    <pivotField axis="axisRow" showAll="0">
      <items count="13">
        <item x="0"/>
        <item x="1"/>
        <item x="2"/>
        <item x="3"/>
        <item x="4"/>
        <item x="5"/>
        <item x="6"/>
        <item x="7"/>
        <item x="8"/>
        <item x="9"/>
        <item x="10"/>
        <item x="11"/>
        <item t="default"/>
      </items>
    </pivotField>
    <pivotField showAll="0">
      <items count="5">
        <item x="2"/>
        <item x="0"/>
        <item x="1"/>
        <item x="3"/>
        <item t="default"/>
      </items>
    </pivotField>
    <pivotField showAll="0"/>
    <pivotField dataField="1" showAll="0"/>
    <pivotField showAll="0"/>
    <pivotField showAll="0"/>
    <pivotField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Sum of Revenue"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490B9D-A23F-4850-A1BB-B66A8F58DDA2}" name="PivotTable2"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2:B16" firstHeaderRow="1" firstDataRow="1" firstDataCol="1"/>
  <pivotFields count="11">
    <pivotField showAll="0"/>
    <pivotField showAll="0">
      <items count="5">
        <item x="2"/>
        <item x="0"/>
        <item x="1"/>
        <item x="3"/>
        <item t="default"/>
      </items>
    </pivotField>
    <pivotField axis="axisRow" showAll="0">
      <items count="4">
        <item x="1"/>
        <item x="2"/>
        <item x="0"/>
        <item t="default"/>
      </items>
    </pivotField>
    <pivotField dataField="1" showAll="0">
      <items count="145">
        <item x="80"/>
        <item x="78"/>
        <item x="14"/>
        <item x="109"/>
        <item x="111"/>
        <item x="7"/>
        <item x="22"/>
        <item x="104"/>
        <item x="115"/>
        <item x="107"/>
        <item x="118"/>
        <item x="52"/>
        <item x="34"/>
        <item x="129"/>
        <item x="65"/>
        <item x="28"/>
        <item x="142"/>
        <item x="72"/>
        <item x="101"/>
        <item x="60"/>
        <item x="67"/>
        <item x="122"/>
        <item x="128"/>
        <item x="112"/>
        <item x="85"/>
        <item x="74"/>
        <item x="93"/>
        <item x="51"/>
        <item x="82"/>
        <item x="24"/>
        <item x="123"/>
        <item x="91"/>
        <item x="64"/>
        <item x="47"/>
        <item x="133"/>
        <item x="88"/>
        <item x="132"/>
        <item x="54"/>
        <item x="55"/>
        <item x="8"/>
        <item x="36"/>
        <item x="56"/>
        <item x="4"/>
        <item x="62"/>
        <item x="3"/>
        <item x="90"/>
        <item x="124"/>
        <item x="119"/>
        <item x="58"/>
        <item x="121"/>
        <item x="61"/>
        <item x="75"/>
        <item x="44"/>
        <item x="126"/>
        <item x="113"/>
        <item x="26"/>
        <item x="71"/>
        <item x="143"/>
        <item x="81"/>
        <item x="27"/>
        <item x="46"/>
        <item x="131"/>
        <item x="1"/>
        <item x="125"/>
        <item x="53"/>
        <item x="73"/>
        <item x="138"/>
        <item x="86"/>
        <item x="139"/>
        <item x="70"/>
        <item x="83"/>
        <item x="76"/>
        <item x="102"/>
        <item x="9"/>
        <item x="12"/>
        <item x="116"/>
        <item x="135"/>
        <item x="25"/>
        <item x="23"/>
        <item x="117"/>
        <item x="120"/>
        <item x="11"/>
        <item x="100"/>
        <item x="10"/>
        <item x="19"/>
        <item x="134"/>
        <item x="97"/>
        <item x="41"/>
        <item x="59"/>
        <item x="114"/>
        <item x="105"/>
        <item x="32"/>
        <item x="136"/>
        <item x="40"/>
        <item x="63"/>
        <item x="20"/>
        <item x="37"/>
        <item x="35"/>
        <item x="5"/>
        <item x="18"/>
        <item x="98"/>
        <item x="13"/>
        <item x="0"/>
        <item x="69"/>
        <item x="92"/>
        <item x="42"/>
        <item x="140"/>
        <item x="94"/>
        <item x="89"/>
        <item x="43"/>
        <item x="96"/>
        <item x="38"/>
        <item x="15"/>
        <item x="21"/>
        <item x="29"/>
        <item x="2"/>
        <item x="108"/>
        <item x="77"/>
        <item x="130"/>
        <item x="30"/>
        <item x="48"/>
        <item x="99"/>
        <item x="39"/>
        <item x="137"/>
        <item x="106"/>
        <item x="87"/>
        <item x="6"/>
        <item x="45"/>
        <item x="33"/>
        <item x="31"/>
        <item x="57"/>
        <item x="103"/>
        <item x="17"/>
        <item x="141"/>
        <item x="127"/>
        <item x="110"/>
        <item x="66"/>
        <item x="49"/>
        <item x="50"/>
        <item x="84"/>
        <item x="95"/>
        <item x="68"/>
        <item x="16"/>
        <item x="79"/>
        <item t="default"/>
      </items>
    </pivotField>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Sum of Revenue"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53940E-0783-4495-9DD3-37EA4CB24F2F}" name="PivotTable1"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6" firstHeaderRow="1" firstDataRow="1" firstDataCol="1"/>
  <pivotFields count="11">
    <pivotField showAll="0"/>
    <pivotField axis="axisRow" showAll="0">
      <items count="5">
        <item x="2"/>
        <item x="0"/>
        <item x="1"/>
        <item x="3"/>
        <item t="default"/>
      </items>
    </pivotField>
    <pivotField showAll="0"/>
    <pivotField dataField="1"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Revenue"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822BE07-2CAC-4A24-8F2E-5129049AA238}" sourceName="Month">
  <pivotTables>
    <pivotTable tabId="2" name="PivotTable4"/>
  </pivotTables>
  <data>
    <tabular pivotCacheId="808626605">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D775F97-EDB7-42FE-B319-73BD268FF228}" sourceName="Product">
  <pivotTables>
    <pivotTable tabId="2" name="PivotTable2"/>
  </pivotTables>
  <data>
    <tabular pivotCacheId="80862660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EFF2AD-9E0D-4625-BB41-8A7506EF7F9C}" sourceName="Region">
  <pivotTables>
    <pivotTable tabId="2" name="PivotTable1"/>
    <pivotTable tabId="2" name="PivotTable2"/>
    <pivotTable tabId="2" name="PivotTable3"/>
    <pivotTable tabId="2" name="PivotTable4"/>
    <pivotTable tabId="2" name="PivotTable5"/>
    <pivotTable tabId="2" name="PivotTable7"/>
  </pivotTables>
  <data>
    <tabular pivotCacheId="808626605">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F332B0D-E2B2-4AA7-8464-0F18679FCFB1}" cache="Slicer_Month" caption="Month" rowHeight="241300"/>
  <slicer name="Product" xr10:uid="{B8436987-27F4-4472-87A6-746A2DE113B3}" cache="Slicer_Product" caption="Product" rowHeight="241300"/>
  <slicer name="Region" xr10:uid="{AE793FFD-FB0E-4B36-ACE0-1413843A6132}"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145"/>
  <sheetViews>
    <sheetView workbookViewId="0">
      <pane ySplit="1" topLeftCell="A2" activePane="bottomLeft" state="frozen"/>
      <selection pane="bottomLeft" activeCell="N23" sqref="N23"/>
    </sheetView>
  </sheetViews>
  <sheetFormatPr defaultRowHeight="14.5" x14ac:dyDescent="0.35"/>
  <cols>
    <col min="1" max="1" width="6.54296875" bestFit="1" customWidth="1"/>
    <col min="2" max="2" width="6.453125" bestFit="1" customWidth="1"/>
    <col min="3" max="3" width="10.1796875" bestFit="1" customWidth="1"/>
    <col min="4" max="4" width="8" bestFit="1" customWidth="1"/>
    <col min="5" max="5" width="8.54296875" bestFit="1" customWidth="1"/>
    <col min="6" max="6" width="6.81640625" bestFit="1" customWidth="1"/>
    <col min="7" max="7" width="9.1796875" bestFit="1" customWidth="1"/>
    <col min="8" max="8" width="14.08984375" bestFit="1" customWidth="1"/>
    <col min="9" max="9" width="13.7265625" bestFit="1" customWidth="1"/>
    <col min="10" max="10" width="13.90625" bestFit="1" customWidth="1"/>
    <col min="11" max="11" width="7.81640625" bestFit="1" customWidth="1"/>
    <col min="15" max="15" width="26.08984375" bestFit="1" customWidth="1"/>
  </cols>
  <sheetData>
    <row r="1" spans="1:15" s="1" customFormat="1" x14ac:dyDescent="0.35">
      <c r="A1" s="1" t="s">
        <v>0</v>
      </c>
      <c r="B1" s="1" t="s">
        <v>1</v>
      </c>
      <c r="C1" s="1" t="s">
        <v>2</v>
      </c>
      <c r="D1" s="1" t="s">
        <v>3</v>
      </c>
      <c r="E1" s="1" t="s">
        <v>4</v>
      </c>
      <c r="F1" s="1" t="s">
        <v>5</v>
      </c>
      <c r="G1" s="1" t="s">
        <v>6</v>
      </c>
      <c r="H1" s="1" t="s">
        <v>7</v>
      </c>
      <c r="I1" s="1" t="s">
        <v>8</v>
      </c>
      <c r="J1" s="1" t="s">
        <v>9</v>
      </c>
      <c r="K1" s="1" t="s">
        <v>10</v>
      </c>
    </row>
    <row r="2" spans="1:15" x14ac:dyDescent="0.35">
      <c r="A2" t="s">
        <v>11</v>
      </c>
      <c r="B2" t="s">
        <v>12</v>
      </c>
      <c r="C2" t="s">
        <v>13</v>
      </c>
      <c r="D2">
        <v>157771</v>
      </c>
      <c r="E2">
        <v>118124</v>
      </c>
      <c r="F2">
        <v>39647</v>
      </c>
      <c r="G2">
        <v>189</v>
      </c>
      <c r="H2">
        <v>40</v>
      </c>
      <c r="I2">
        <v>4932904</v>
      </c>
      <c r="J2">
        <v>49364</v>
      </c>
      <c r="K2">
        <v>4</v>
      </c>
    </row>
    <row r="3" spans="1:15" x14ac:dyDescent="0.35">
      <c r="A3" t="s">
        <v>11</v>
      </c>
      <c r="B3" t="s">
        <v>12</v>
      </c>
      <c r="C3" t="s">
        <v>14</v>
      </c>
      <c r="D3">
        <v>121705</v>
      </c>
      <c r="E3">
        <v>110882</v>
      </c>
      <c r="F3">
        <v>10823</v>
      </c>
      <c r="G3">
        <v>242</v>
      </c>
      <c r="H3">
        <v>43</v>
      </c>
      <c r="I3" t="s">
        <v>15</v>
      </c>
      <c r="J3">
        <v>18161</v>
      </c>
      <c r="K3">
        <v>1</v>
      </c>
    </row>
    <row r="4" spans="1:15" x14ac:dyDescent="0.35">
      <c r="A4" t="s">
        <v>11</v>
      </c>
      <c r="B4" t="s">
        <v>12</v>
      </c>
      <c r="C4" t="s">
        <v>16</v>
      </c>
      <c r="D4">
        <v>171333</v>
      </c>
      <c r="E4">
        <v>57677</v>
      </c>
      <c r="F4">
        <v>113656</v>
      </c>
      <c r="G4">
        <v>115</v>
      </c>
      <c r="H4">
        <v>67</v>
      </c>
      <c r="I4" t="s">
        <v>15</v>
      </c>
      <c r="J4">
        <v>13605</v>
      </c>
      <c r="K4">
        <v>0</v>
      </c>
      <c r="N4">
        <f>SUM(G2:G145)</f>
        <v>23094</v>
      </c>
    </row>
    <row r="5" spans="1:15" x14ac:dyDescent="0.35">
      <c r="A5" t="s">
        <v>11</v>
      </c>
      <c r="B5" t="s">
        <v>17</v>
      </c>
      <c r="C5" t="s">
        <v>13</v>
      </c>
      <c r="D5">
        <v>104430</v>
      </c>
      <c r="E5">
        <v>83268</v>
      </c>
      <c r="F5">
        <v>21162</v>
      </c>
      <c r="G5">
        <v>166</v>
      </c>
      <c r="H5">
        <v>34</v>
      </c>
      <c r="I5">
        <v>4280801</v>
      </c>
      <c r="J5">
        <v>55298</v>
      </c>
      <c r="K5">
        <v>5</v>
      </c>
    </row>
    <row r="6" spans="1:15" x14ac:dyDescent="0.35">
      <c r="A6" t="s">
        <v>11</v>
      </c>
      <c r="B6" t="s">
        <v>17</v>
      </c>
      <c r="C6" t="s">
        <v>14</v>
      </c>
      <c r="D6">
        <v>104089</v>
      </c>
      <c r="E6">
        <v>91891</v>
      </c>
      <c r="F6">
        <v>12198</v>
      </c>
      <c r="G6">
        <v>165</v>
      </c>
      <c r="H6">
        <v>29</v>
      </c>
      <c r="I6" t="s">
        <v>15</v>
      </c>
      <c r="J6">
        <v>19045</v>
      </c>
      <c r="K6">
        <v>3</v>
      </c>
    </row>
    <row r="7" spans="1:15" x14ac:dyDescent="0.35">
      <c r="A7" t="s">
        <v>11</v>
      </c>
      <c r="B7" t="s">
        <v>17</v>
      </c>
      <c r="C7" t="s">
        <v>16</v>
      </c>
      <c r="D7">
        <v>155300</v>
      </c>
      <c r="E7">
        <v>99911</v>
      </c>
      <c r="F7">
        <v>55389</v>
      </c>
      <c r="G7">
        <v>96</v>
      </c>
      <c r="H7">
        <v>44</v>
      </c>
      <c r="I7" t="s">
        <v>15</v>
      </c>
      <c r="J7">
        <v>11934</v>
      </c>
      <c r="K7">
        <v>1</v>
      </c>
      <c r="N7">
        <f>SUM(F2:F145)</f>
        <v>8213392</v>
      </c>
      <c r="O7" s="6">
        <f>SUM(E2:E145)</f>
        <v>10589989</v>
      </c>
    </row>
    <row r="8" spans="1:15" x14ac:dyDescent="0.35">
      <c r="A8" t="s">
        <v>11</v>
      </c>
      <c r="B8" t="s">
        <v>18</v>
      </c>
      <c r="C8" t="s">
        <v>13</v>
      </c>
      <c r="D8">
        <v>186874</v>
      </c>
      <c r="E8">
        <v>60045</v>
      </c>
      <c r="F8">
        <v>126829</v>
      </c>
      <c r="G8">
        <v>87</v>
      </c>
      <c r="H8">
        <v>21</v>
      </c>
      <c r="I8">
        <v>3334417</v>
      </c>
      <c r="J8">
        <v>53928</v>
      </c>
      <c r="K8">
        <v>10</v>
      </c>
      <c r="N8">
        <f>SUM(D2:D145)</f>
        <v>18803381</v>
      </c>
    </row>
    <row r="9" spans="1:15" x14ac:dyDescent="0.35">
      <c r="A9" t="s">
        <v>11</v>
      </c>
      <c r="B9" t="s">
        <v>18</v>
      </c>
      <c r="C9" t="s">
        <v>14</v>
      </c>
      <c r="D9">
        <v>67617</v>
      </c>
      <c r="E9">
        <v>80270</v>
      </c>
      <c r="F9">
        <v>-12653</v>
      </c>
      <c r="G9">
        <v>242</v>
      </c>
      <c r="H9">
        <v>59</v>
      </c>
      <c r="I9" t="s">
        <v>15</v>
      </c>
      <c r="J9">
        <v>27409</v>
      </c>
      <c r="K9">
        <v>2</v>
      </c>
      <c r="N9">
        <f>(N7/N8)*100</f>
        <v>43.680399817458358</v>
      </c>
    </row>
    <row r="10" spans="1:15" x14ac:dyDescent="0.35">
      <c r="A10" t="s">
        <v>11</v>
      </c>
      <c r="B10" t="s">
        <v>18</v>
      </c>
      <c r="C10" t="s">
        <v>16</v>
      </c>
      <c r="D10">
        <v>103202</v>
      </c>
      <c r="E10">
        <v>32987</v>
      </c>
      <c r="F10">
        <v>70215</v>
      </c>
      <c r="G10">
        <v>83</v>
      </c>
      <c r="H10">
        <v>62</v>
      </c>
      <c r="I10" t="s">
        <v>15</v>
      </c>
      <c r="J10">
        <v>15202</v>
      </c>
      <c r="K10">
        <v>2</v>
      </c>
      <c r="N10">
        <f>ROUNDUP(N9,2)</f>
        <v>43.69</v>
      </c>
    </row>
    <row r="11" spans="1:15" x14ac:dyDescent="0.35">
      <c r="A11" t="s">
        <v>11</v>
      </c>
      <c r="B11" t="s">
        <v>19</v>
      </c>
      <c r="C11" t="s">
        <v>13</v>
      </c>
      <c r="D11">
        <v>127591</v>
      </c>
      <c r="E11">
        <v>54186</v>
      </c>
      <c r="F11">
        <v>73405</v>
      </c>
      <c r="G11">
        <v>128</v>
      </c>
      <c r="H11">
        <v>65</v>
      </c>
      <c r="I11">
        <v>2892256</v>
      </c>
      <c r="J11">
        <v>58957</v>
      </c>
      <c r="K11">
        <v>7</v>
      </c>
    </row>
    <row r="12" spans="1:15" x14ac:dyDescent="0.35">
      <c r="A12" t="s">
        <v>11</v>
      </c>
      <c r="B12" t="s">
        <v>19</v>
      </c>
      <c r="C12" t="s">
        <v>14</v>
      </c>
      <c r="D12">
        <v>139238</v>
      </c>
      <c r="E12">
        <v>87943</v>
      </c>
      <c r="F12">
        <v>51295</v>
      </c>
      <c r="G12">
        <v>147</v>
      </c>
      <c r="H12">
        <v>37</v>
      </c>
      <c r="I12" t="s">
        <v>15</v>
      </c>
      <c r="J12">
        <v>23927</v>
      </c>
      <c r="K12">
        <v>4</v>
      </c>
    </row>
    <row r="13" spans="1:15" x14ac:dyDescent="0.35">
      <c r="A13" t="s">
        <v>11</v>
      </c>
      <c r="B13" t="s">
        <v>19</v>
      </c>
      <c r="C13" t="s">
        <v>16</v>
      </c>
      <c r="D13">
        <v>138323</v>
      </c>
      <c r="E13">
        <v>112481</v>
      </c>
      <c r="F13">
        <v>25842</v>
      </c>
      <c r="G13">
        <v>94</v>
      </c>
      <c r="H13">
        <v>25</v>
      </c>
      <c r="I13" t="s">
        <v>15</v>
      </c>
      <c r="J13">
        <v>18764</v>
      </c>
      <c r="K13">
        <v>1</v>
      </c>
    </row>
    <row r="14" spans="1:15" x14ac:dyDescent="0.35">
      <c r="A14" t="s">
        <v>20</v>
      </c>
      <c r="B14" t="s">
        <v>12</v>
      </c>
      <c r="C14" t="s">
        <v>13</v>
      </c>
      <c r="D14">
        <v>130149</v>
      </c>
      <c r="E14">
        <v>41578</v>
      </c>
      <c r="F14">
        <v>88571</v>
      </c>
      <c r="G14">
        <v>238</v>
      </c>
      <c r="H14">
        <v>39</v>
      </c>
      <c r="I14">
        <v>3185327</v>
      </c>
      <c r="J14">
        <v>39656</v>
      </c>
      <c r="K14">
        <v>4</v>
      </c>
    </row>
    <row r="15" spans="1:15" x14ac:dyDescent="0.35">
      <c r="A15" t="s">
        <v>20</v>
      </c>
      <c r="B15" t="s">
        <v>12</v>
      </c>
      <c r="C15" t="s">
        <v>14</v>
      </c>
      <c r="D15">
        <v>156356</v>
      </c>
      <c r="E15">
        <v>69538</v>
      </c>
      <c r="F15">
        <v>86818</v>
      </c>
      <c r="G15">
        <v>105</v>
      </c>
      <c r="H15">
        <v>40</v>
      </c>
      <c r="I15" t="s">
        <v>15</v>
      </c>
      <c r="J15">
        <v>27568</v>
      </c>
      <c r="K15">
        <v>2</v>
      </c>
      <c r="N15">
        <f>SUM(E3:E144)</f>
        <v>10354013</v>
      </c>
    </row>
    <row r="16" spans="1:15" x14ac:dyDescent="0.35">
      <c r="A16" t="s">
        <v>20</v>
      </c>
      <c r="B16" t="s">
        <v>12</v>
      </c>
      <c r="C16" t="s">
        <v>16</v>
      </c>
      <c r="D16">
        <v>62972</v>
      </c>
      <c r="E16">
        <v>90284</v>
      </c>
      <c r="F16">
        <v>-27312</v>
      </c>
      <c r="G16">
        <v>84</v>
      </c>
      <c r="H16">
        <v>29</v>
      </c>
      <c r="I16" t="s">
        <v>15</v>
      </c>
      <c r="J16">
        <v>17349</v>
      </c>
      <c r="K16">
        <v>0</v>
      </c>
      <c r="M16" t="s">
        <v>37</v>
      </c>
      <c r="N16">
        <f>SUM(E4:E145)</f>
        <v>10360983</v>
      </c>
    </row>
    <row r="17" spans="1:14" x14ac:dyDescent="0.35">
      <c r="A17" t="s">
        <v>20</v>
      </c>
      <c r="B17" t="s">
        <v>17</v>
      </c>
      <c r="C17" t="s">
        <v>13</v>
      </c>
      <c r="D17">
        <v>169699</v>
      </c>
      <c r="E17">
        <v>91211</v>
      </c>
      <c r="F17">
        <v>78488</v>
      </c>
      <c r="G17">
        <v>225</v>
      </c>
      <c r="H17">
        <v>25</v>
      </c>
      <c r="I17">
        <v>4171631</v>
      </c>
      <c r="J17">
        <v>30448</v>
      </c>
      <c r="K17">
        <v>9</v>
      </c>
    </row>
    <row r="18" spans="1:14" x14ac:dyDescent="0.35">
      <c r="A18" t="s">
        <v>20</v>
      </c>
      <c r="B18" t="s">
        <v>17</v>
      </c>
      <c r="C18" t="s">
        <v>14</v>
      </c>
      <c r="D18">
        <v>197290</v>
      </c>
      <c r="E18">
        <v>66509</v>
      </c>
      <c r="F18">
        <v>130781</v>
      </c>
      <c r="G18">
        <v>223</v>
      </c>
      <c r="H18">
        <v>32</v>
      </c>
      <c r="I18" t="s">
        <v>15</v>
      </c>
      <c r="J18">
        <v>16294</v>
      </c>
      <c r="K18">
        <v>0</v>
      </c>
    </row>
    <row r="19" spans="1:14" x14ac:dyDescent="0.35">
      <c r="A19" t="s">
        <v>20</v>
      </c>
      <c r="B19" t="s">
        <v>17</v>
      </c>
      <c r="C19" t="s">
        <v>16</v>
      </c>
      <c r="D19">
        <v>189778</v>
      </c>
      <c r="E19">
        <v>41362</v>
      </c>
      <c r="F19">
        <v>148416</v>
      </c>
      <c r="G19">
        <v>176</v>
      </c>
      <c r="H19">
        <v>66</v>
      </c>
      <c r="I19" t="s">
        <v>15</v>
      </c>
      <c r="J19">
        <v>14306</v>
      </c>
      <c r="K19">
        <v>0</v>
      </c>
    </row>
    <row r="20" spans="1:14" x14ac:dyDescent="0.35">
      <c r="A20" t="s">
        <v>20</v>
      </c>
      <c r="B20" t="s">
        <v>18</v>
      </c>
      <c r="C20" t="s">
        <v>13</v>
      </c>
      <c r="D20">
        <v>155934</v>
      </c>
      <c r="E20">
        <v>117114</v>
      </c>
      <c r="F20">
        <v>38820</v>
      </c>
      <c r="G20">
        <v>130</v>
      </c>
      <c r="H20">
        <v>41</v>
      </c>
      <c r="I20">
        <v>2946169</v>
      </c>
      <c r="J20">
        <v>38626</v>
      </c>
      <c r="K20">
        <v>4</v>
      </c>
      <c r="N20">
        <f>SUM(E8:E143)</f>
        <v>9865369</v>
      </c>
    </row>
    <row r="21" spans="1:14" x14ac:dyDescent="0.35">
      <c r="A21" t="s">
        <v>20</v>
      </c>
      <c r="B21" t="s">
        <v>18</v>
      </c>
      <c r="C21" t="s">
        <v>14</v>
      </c>
      <c r="D21">
        <v>140599</v>
      </c>
      <c r="E21">
        <v>58326</v>
      </c>
      <c r="F21">
        <v>82273</v>
      </c>
      <c r="G21">
        <v>177</v>
      </c>
      <c r="H21">
        <v>21</v>
      </c>
      <c r="I21" t="s">
        <v>15</v>
      </c>
      <c r="J21">
        <v>23892</v>
      </c>
      <c r="K21">
        <v>3</v>
      </c>
    </row>
    <row r="22" spans="1:14" x14ac:dyDescent="0.35">
      <c r="A22" t="s">
        <v>20</v>
      </c>
      <c r="B22" t="s">
        <v>18</v>
      </c>
      <c r="C22" t="s">
        <v>16</v>
      </c>
      <c r="D22">
        <v>151460</v>
      </c>
      <c r="E22">
        <v>52760</v>
      </c>
      <c r="F22">
        <v>98700</v>
      </c>
      <c r="G22">
        <v>127</v>
      </c>
      <c r="H22">
        <v>46</v>
      </c>
      <c r="I22" t="s">
        <v>15</v>
      </c>
      <c r="J22">
        <v>16447</v>
      </c>
      <c r="K22">
        <v>0</v>
      </c>
    </row>
    <row r="23" spans="1:14" x14ac:dyDescent="0.35">
      <c r="A23" t="s">
        <v>20</v>
      </c>
      <c r="B23" t="s">
        <v>19</v>
      </c>
      <c r="C23" t="s">
        <v>13</v>
      </c>
      <c r="D23">
        <v>170156</v>
      </c>
      <c r="E23">
        <v>83229</v>
      </c>
      <c r="F23">
        <v>86927</v>
      </c>
      <c r="G23">
        <v>133</v>
      </c>
      <c r="H23">
        <v>67</v>
      </c>
      <c r="I23">
        <v>4279883</v>
      </c>
      <c r="J23">
        <v>45688</v>
      </c>
      <c r="K23">
        <v>6</v>
      </c>
    </row>
    <row r="24" spans="1:14" x14ac:dyDescent="0.35">
      <c r="A24" t="s">
        <v>20</v>
      </c>
      <c r="B24" t="s">
        <v>19</v>
      </c>
      <c r="C24" t="s">
        <v>14</v>
      </c>
      <c r="D24">
        <v>67974</v>
      </c>
      <c r="E24">
        <v>116458</v>
      </c>
      <c r="F24">
        <v>-48484</v>
      </c>
      <c r="G24">
        <v>143</v>
      </c>
      <c r="H24">
        <v>57</v>
      </c>
      <c r="I24" t="s">
        <v>15</v>
      </c>
      <c r="J24">
        <v>15977</v>
      </c>
      <c r="K24">
        <v>0</v>
      </c>
    </row>
    <row r="25" spans="1:14" x14ac:dyDescent="0.35">
      <c r="A25" t="s">
        <v>20</v>
      </c>
      <c r="B25" t="s">
        <v>19</v>
      </c>
      <c r="C25" t="s">
        <v>16</v>
      </c>
      <c r="D25">
        <v>136630</v>
      </c>
      <c r="E25">
        <v>74320</v>
      </c>
      <c r="F25">
        <v>62310</v>
      </c>
      <c r="G25">
        <v>91</v>
      </c>
      <c r="H25">
        <v>30</v>
      </c>
      <c r="I25" t="s">
        <v>15</v>
      </c>
      <c r="J25">
        <v>13366</v>
      </c>
      <c r="K25">
        <v>0</v>
      </c>
    </row>
    <row r="26" spans="1:14" x14ac:dyDescent="0.35">
      <c r="A26" t="s">
        <v>21</v>
      </c>
      <c r="B26" t="s">
        <v>12</v>
      </c>
      <c r="C26" t="s">
        <v>13</v>
      </c>
      <c r="D26">
        <v>88448</v>
      </c>
      <c r="E26">
        <v>90432</v>
      </c>
      <c r="F26">
        <v>-1984</v>
      </c>
      <c r="G26">
        <v>215</v>
      </c>
      <c r="H26">
        <v>42</v>
      </c>
      <c r="I26">
        <v>3087217</v>
      </c>
      <c r="J26">
        <v>54890</v>
      </c>
      <c r="K26">
        <v>4</v>
      </c>
    </row>
    <row r="27" spans="1:14" x14ac:dyDescent="0.35">
      <c r="A27" t="s">
        <v>21</v>
      </c>
      <c r="B27" t="s">
        <v>12</v>
      </c>
      <c r="C27" t="s">
        <v>14</v>
      </c>
      <c r="D27">
        <v>134551</v>
      </c>
      <c r="E27">
        <v>101470</v>
      </c>
      <c r="F27">
        <v>33081</v>
      </c>
      <c r="G27">
        <v>91</v>
      </c>
      <c r="H27">
        <v>54</v>
      </c>
      <c r="I27" t="s">
        <v>15</v>
      </c>
      <c r="J27">
        <v>16169</v>
      </c>
      <c r="K27">
        <v>3</v>
      </c>
    </row>
    <row r="28" spans="1:14" x14ac:dyDescent="0.35">
      <c r="A28" t="s">
        <v>21</v>
      </c>
      <c r="B28" t="s">
        <v>12</v>
      </c>
      <c r="C28" t="s">
        <v>16</v>
      </c>
      <c r="D28">
        <v>117558</v>
      </c>
      <c r="E28">
        <v>45000</v>
      </c>
      <c r="F28">
        <v>72558</v>
      </c>
      <c r="G28">
        <v>118</v>
      </c>
      <c r="H28">
        <v>29</v>
      </c>
      <c r="I28" t="s">
        <v>15</v>
      </c>
      <c r="J28">
        <v>17422</v>
      </c>
      <c r="K28">
        <v>0</v>
      </c>
    </row>
    <row r="29" spans="1:14" x14ac:dyDescent="0.35">
      <c r="A29" t="s">
        <v>21</v>
      </c>
      <c r="B29" t="s">
        <v>17</v>
      </c>
      <c r="C29" t="s">
        <v>13</v>
      </c>
      <c r="D29">
        <v>120131</v>
      </c>
      <c r="E29">
        <v>98077</v>
      </c>
      <c r="F29">
        <v>22054</v>
      </c>
      <c r="G29">
        <v>193</v>
      </c>
      <c r="H29">
        <v>56</v>
      </c>
      <c r="I29">
        <v>4569182</v>
      </c>
      <c r="J29">
        <v>38738</v>
      </c>
      <c r="K29">
        <v>8</v>
      </c>
    </row>
    <row r="30" spans="1:14" x14ac:dyDescent="0.35">
      <c r="A30" t="s">
        <v>21</v>
      </c>
      <c r="B30" t="s">
        <v>17</v>
      </c>
      <c r="C30" t="s">
        <v>14</v>
      </c>
      <c r="D30">
        <v>76358</v>
      </c>
      <c r="E30">
        <v>80193</v>
      </c>
      <c r="F30">
        <v>-3835</v>
      </c>
      <c r="G30">
        <v>176</v>
      </c>
      <c r="H30">
        <v>64</v>
      </c>
      <c r="I30" t="s">
        <v>15</v>
      </c>
      <c r="J30">
        <v>19243</v>
      </c>
      <c r="K30">
        <v>3</v>
      </c>
    </row>
    <row r="31" spans="1:14" x14ac:dyDescent="0.35">
      <c r="A31" t="s">
        <v>21</v>
      </c>
      <c r="B31" t="s">
        <v>17</v>
      </c>
      <c r="C31" t="s">
        <v>16</v>
      </c>
      <c r="D31">
        <v>171054</v>
      </c>
      <c r="E31">
        <v>46548</v>
      </c>
      <c r="F31">
        <v>124506</v>
      </c>
      <c r="G31">
        <v>151</v>
      </c>
      <c r="H31">
        <v>57</v>
      </c>
      <c r="I31" t="s">
        <v>15</v>
      </c>
      <c r="J31">
        <v>11500</v>
      </c>
      <c r="K31">
        <v>2</v>
      </c>
    </row>
    <row r="32" spans="1:14" x14ac:dyDescent="0.35">
      <c r="A32" t="s">
        <v>21</v>
      </c>
      <c r="B32" t="s">
        <v>18</v>
      </c>
      <c r="C32" t="s">
        <v>13</v>
      </c>
      <c r="D32">
        <v>174920</v>
      </c>
      <c r="E32">
        <v>68292</v>
      </c>
      <c r="F32">
        <v>106628</v>
      </c>
      <c r="G32">
        <v>231</v>
      </c>
      <c r="H32">
        <v>69</v>
      </c>
      <c r="I32">
        <v>3696428</v>
      </c>
      <c r="J32">
        <v>42624</v>
      </c>
      <c r="K32">
        <v>7</v>
      </c>
    </row>
    <row r="33" spans="1:11" x14ac:dyDescent="0.35">
      <c r="A33" t="s">
        <v>21</v>
      </c>
      <c r="B33" t="s">
        <v>18</v>
      </c>
      <c r="C33" t="s">
        <v>14</v>
      </c>
      <c r="D33">
        <v>188380</v>
      </c>
      <c r="E33">
        <v>84852</v>
      </c>
      <c r="F33">
        <v>103528</v>
      </c>
      <c r="G33">
        <v>176</v>
      </c>
      <c r="H33">
        <v>59</v>
      </c>
      <c r="I33" t="s">
        <v>15</v>
      </c>
      <c r="J33">
        <v>17946</v>
      </c>
      <c r="K33">
        <v>0</v>
      </c>
    </row>
    <row r="34" spans="1:11" x14ac:dyDescent="0.35">
      <c r="A34" t="s">
        <v>21</v>
      </c>
      <c r="B34" t="s">
        <v>18</v>
      </c>
      <c r="C34" t="s">
        <v>16</v>
      </c>
      <c r="D34">
        <v>149850</v>
      </c>
      <c r="E34">
        <v>45966</v>
      </c>
      <c r="F34">
        <v>103884</v>
      </c>
      <c r="G34">
        <v>85</v>
      </c>
      <c r="H34">
        <v>24</v>
      </c>
      <c r="I34" t="s">
        <v>15</v>
      </c>
      <c r="J34">
        <v>16921</v>
      </c>
      <c r="K34">
        <v>2</v>
      </c>
    </row>
    <row r="35" spans="1:11" x14ac:dyDescent="0.35">
      <c r="A35" t="s">
        <v>21</v>
      </c>
      <c r="B35" t="s">
        <v>19</v>
      </c>
      <c r="C35" t="s">
        <v>13</v>
      </c>
      <c r="D35">
        <v>188262</v>
      </c>
      <c r="E35">
        <v>30985</v>
      </c>
      <c r="F35">
        <v>157277</v>
      </c>
      <c r="G35">
        <v>202</v>
      </c>
      <c r="H35">
        <v>55</v>
      </c>
      <c r="I35">
        <v>4281420</v>
      </c>
      <c r="J35">
        <v>30955</v>
      </c>
      <c r="K35">
        <v>6</v>
      </c>
    </row>
    <row r="36" spans="1:11" x14ac:dyDescent="0.35">
      <c r="A36" t="s">
        <v>21</v>
      </c>
      <c r="B36" t="s">
        <v>19</v>
      </c>
      <c r="C36" t="s">
        <v>14</v>
      </c>
      <c r="D36">
        <v>74320</v>
      </c>
      <c r="E36">
        <v>57171</v>
      </c>
      <c r="F36">
        <v>17149</v>
      </c>
      <c r="G36">
        <v>224</v>
      </c>
      <c r="H36">
        <v>50</v>
      </c>
      <c r="I36" t="s">
        <v>15</v>
      </c>
      <c r="J36">
        <v>19845</v>
      </c>
      <c r="K36">
        <v>2</v>
      </c>
    </row>
    <row r="37" spans="1:11" x14ac:dyDescent="0.35">
      <c r="A37" t="s">
        <v>21</v>
      </c>
      <c r="B37" t="s">
        <v>19</v>
      </c>
      <c r="C37" t="s">
        <v>16</v>
      </c>
      <c r="D37">
        <v>151713</v>
      </c>
      <c r="E37">
        <v>32939</v>
      </c>
      <c r="F37">
        <v>118774</v>
      </c>
      <c r="G37">
        <v>225</v>
      </c>
      <c r="H37">
        <v>55</v>
      </c>
      <c r="I37" t="s">
        <v>15</v>
      </c>
      <c r="J37">
        <v>10520</v>
      </c>
      <c r="K37">
        <v>2</v>
      </c>
    </row>
    <row r="38" spans="1:11" x14ac:dyDescent="0.35">
      <c r="A38" t="s">
        <v>22</v>
      </c>
      <c r="B38" t="s">
        <v>12</v>
      </c>
      <c r="C38" t="s">
        <v>13</v>
      </c>
      <c r="D38">
        <v>103248</v>
      </c>
      <c r="E38">
        <v>36798</v>
      </c>
      <c r="F38">
        <v>66450</v>
      </c>
      <c r="G38">
        <v>143</v>
      </c>
      <c r="H38">
        <v>69</v>
      </c>
      <c r="I38">
        <v>3992736</v>
      </c>
      <c r="J38">
        <v>59574</v>
      </c>
      <c r="K38">
        <v>7</v>
      </c>
    </row>
    <row r="39" spans="1:11" x14ac:dyDescent="0.35">
      <c r="A39" t="s">
        <v>22</v>
      </c>
      <c r="B39" t="s">
        <v>12</v>
      </c>
      <c r="C39" t="s">
        <v>14</v>
      </c>
      <c r="D39">
        <v>151589</v>
      </c>
      <c r="E39">
        <v>50770</v>
      </c>
      <c r="F39">
        <v>100819</v>
      </c>
      <c r="G39">
        <v>105</v>
      </c>
      <c r="H39">
        <v>46</v>
      </c>
      <c r="I39" t="s">
        <v>15</v>
      </c>
      <c r="J39">
        <v>22077</v>
      </c>
      <c r="K39">
        <v>2</v>
      </c>
    </row>
    <row r="40" spans="1:11" x14ac:dyDescent="0.35">
      <c r="A40" t="s">
        <v>22</v>
      </c>
      <c r="B40" t="s">
        <v>12</v>
      </c>
      <c r="C40" t="s">
        <v>16</v>
      </c>
      <c r="D40">
        <v>168373</v>
      </c>
      <c r="E40">
        <v>80843</v>
      </c>
      <c r="F40">
        <v>87530</v>
      </c>
      <c r="G40">
        <v>154</v>
      </c>
      <c r="H40">
        <v>21</v>
      </c>
      <c r="I40" t="s">
        <v>15</v>
      </c>
      <c r="J40">
        <v>11313</v>
      </c>
      <c r="K40">
        <v>1</v>
      </c>
    </row>
    <row r="41" spans="1:11" x14ac:dyDescent="0.35">
      <c r="A41" t="s">
        <v>22</v>
      </c>
      <c r="B41" t="s">
        <v>17</v>
      </c>
      <c r="C41" t="s">
        <v>13</v>
      </c>
      <c r="D41">
        <v>176755</v>
      </c>
      <c r="E41">
        <v>100712</v>
      </c>
      <c r="F41">
        <v>76043</v>
      </c>
      <c r="G41">
        <v>144</v>
      </c>
      <c r="H41">
        <v>50</v>
      </c>
      <c r="I41">
        <v>3245135</v>
      </c>
      <c r="J41">
        <v>33432</v>
      </c>
      <c r="K41">
        <v>6</v>
      </c>
    </row>
    <row r="42" spans="1:11" x14ac:dyDescent="0.35">
      <c r="A42" t="s">
        <v>22</v>
      </c>
      <c r="B42" t="s">
        <v>17</v>
      </c>
      <c r="C42" t="s">
        <v>14</v>
      </c>
      <c r="D42">
        <v>150497</v>
      </c>
      <c r="E42">
        <v>56792</v>
      </c>
      <c r="F42">
        <v>93705</v>
      </c>
      <c r="G42">
        <v>94</v>
      </c>
      <c r="H42">
        <v>50</v>
      </c>
      <c r="I42" t="s">
        <v>15</v>
      </c>
      <c r="J42">
        <v>15267</v>
      </c>
      <c r="K42">
        <v>4</v>
      </c>
    </row>
    <row r="43" spans="1:11" x14ac:dyDescent="0.35">
      <c r="A43" t="s">
        <v>22</v>
      </c>
      <c r="B43" t="s">
        <v>17</v>
      </c>
      <c r="C43" t="s">
        <v>16</v>
      </c>
      <c r="D43">
        <v>144417</v>
      </c>
      <c r="E43">
        <v>67542</v>
      </c>
      <c r="F43">
        <v>76875</v>
      </c>
      <c r="G43">
        <v>154</v>
      </c>
      <c r="H43">
        <v>53</v>
      </c>
      <c r="I43" t="s">
        <v>15</v>
      </c>
      <c r="J43">
        <v>13235</v>
      </c>
      <c r="K43">
        <v>0</v>
      </c>
    </row>
    <row r="44" spans="1:11" x14ac:dyDescent="0.35">
      <c r="A44" t="s">
        <v>22</v>
      </c>
      <c r="B44" t="s">
        <v>18</v>
      </c>
      <c r="C44" t="s">
        <v>13</v>
      </c>
      <c r="D44">
        <v>160238</v>
      </c>
      <c r="E44">
        <v>80244</v>
      </c>
      <c r="F44">
        <v>79994</v>
      </c>
      <c r="G44">
        <v>174</v>
      </c>
      <c r="H44">
        <v>51</v>
      </c>
      <c r="I44">
        <v>4378302</v>
      </c>
      <c r="J44">
        <v>47100</v>
      </c>
      <c r="K44">
        <v>3</v>
      </c>
    </row>
    <row r="45" spans="1:11" x14ac:dyDescent="0.35">
      <c r="A45" t="s">
        <v>22</v>
      </c>
      <c r="B45" t="s">
        <v>18</v>
      </c>
      <c r="C45" t="s">
        <v>14</v>
      </c>
      <c r="D45">
        <v>166884</v>
      </c>
      <c r="E45">
        <v>62445</v>
      </c>
      <c r="F45">
        <v>104439</v>
      </c>
      <c r="G45">
        <v>187</v>
      </c>
      <c r="H45">
        <v>37</v>
      </c>
      <c r="I45" t="s">
        <v>15</v>
      </c>
      <c r="J45">
        <v>21939</v>
      </c>
      <c r="K45">
        <v>3</v>
      </c>
    </row>
    <row r="46" spans="1:11" x14ac:dyDescent="0.35">
      <c r="A46" t="s">
        <v>22</v>
      </c>
      <c r="B46" t="s">
        <v>18</v>
      </c>
      <c r="C46" t="s">
        <v>16</v>
      </c>
      <c r="D46">
        <v>112233</v>
      </c>
      <c r="E46">
        <v>102326</v>
      </c>
      <c r="F46">
        <v>9907</v>
      </c>
      <c r="G46">
        <v>161</v>
      </c>
      <c r="H46">
        <v>26</v>
      </c>
      <c r="I46" t="s">
        <v>15</v>
      </c>
      <c r="J46">
        <v>11670</v>
      </c>
      <c r="K46">
        <v>0</v>
      </c>
    </row>
    <row r="47" spans="1:11" x14ac:dyDescent="0.35">
      <c r="A47" t="s">
        <v>22</v>
      </c>
      <c r="B47" t="s">
        <v>19</v>
      </c>
      <c r="C47" t="s">
        <v>13</v>
      </c>
      <c r="D47">
        <v>187152</v>
      </c>
      <c r="E47">
        <v>49882</v>
      </c>
      <c r="F47">
        <v>137270</v>
      </c>
      <c r="G47">
        <v>167</v>
      </c>
      <c r="H47">
        <v>50</v>
      </c>
      <c r="I47">
        <v>2643255</v>
      </c>
      <c r="J47">
        <v>43361</v>
      </c>
      <c r="K47">
        <v>3</v>
      </c>
    </row>
    <row r="48" spans="1:11" x14ac:dyDescent="0.35">
      <c r="A48" t="s">
        <v>22</v>
      </c>
      <c r="B48" t="s">
        <v>19</v>
      </c>
      <c r="C48" t="s">
        <v>14</v>
      </c>
      <c r="D48">
        <v>120404</v>
      </c>
      <c r="E48">
        <v>84602</v>
      </c>
      <c r="F48">
        <v>35802</v>
      </c>
      <c r="G48">
        <v>195</v>
      </c>
      <c r="H48">
        <v>26</v>
      </c>
      <c r="I48" t="s">
        <v>15</v>
      </c>
      <c r="J48">
        <v>26556</v>
      </c>
      <c r="K48">
        <v>4</v>
      </c>
    </row>
    <row r="49" spans="1:11" x14ac:dyDescent="0.35">
      <c r="A49" t="s">
        <v>22</v>
      </c>
      <c r="B49" t="s">
        <v>19</v>
      </c>
      <c r="C49" t="s">
        <v>16</v>
      </c>
      <c r="D49">
        <v>96870</v>
      </c>
      <c r="E49">
        <v>62378</v>
      </c>
      <c r="F49">
        <v>34492</v>
      </c>
      <c r="G49">
        <v>146</v>
      </c>
      <c r="H49">
        <v>38</v>
      </c>
      <c r="I49" t="s">
        <v>15</v>
      </c>
      <c r="J49">
        <v>12827</v>
      </c>
      <c r="K49">
        <v>2</v>
      </c>
    </row>
    <row r="50" spans="1:11" x14ac:dyDescent="0.35">
      <c r="A50" t="s">
        <v>23</v>
      </c>
      <c r="B50" t="s">
        <v>12</v>
      </c>
      <c r="C50" t="s">
        <v>13</v>
      </c>
      <c r="D50">
        <v>175078</v>
      </c>
      <c r="E50">
        <v>61961</v>
      </c>
      <c r="F50">
        <v>113117</v>
      </c>
      <c r="G50">
        <v>182</v>
      </c>
      <c r="H50">
        <v>23</v>
      </c>
      <c r="I50">
        <v>2702181</v>
      </c>
      <c r="J50">
        <v>37223</v>
      </c>
      <c r="K50">
        <v>7</v>
      </c>
    </row>
    <row r="51" spans="1:11" x14ac:dyDescent="0.35">
      <c r="A51" t="s">
        <v>23</v>
      </c>
      <c r="B51" t="s">
        <v>12</v>
      </c>
      <c r="C51" t="s">
        <v>14</v>
      </c>
      <c r="D51">
        <v>192818</v>
      </c>
      <c r="E51">
        <v>112076</v>
      </c>
      <c r="F51">
        <v>80742</v>
      </c>
      <c r="G51">
        <v>103</v>
      </c>
      <c r="H51">
        <v>25</v>
      </c>
      <c r="I51" t="s">
        <v>15</v>
      </c>
      <c r="J51">
        <v>16868</v>
      </c>
      <c r="K51">
        <v>2</v>
      </c>
    </row>
    <row r="52" spans="1:11" x14ac:dyDescent="0.35">
      <c r="A52" t="s">
        <v>23</v>
      </c>
      <c r="B52" t="s">
        <v>12</v>
      </c>
      <c r="C52" t="s">
        <v>16</v>
      </c>
      <c r="D52">
        <v>192933</v>
      </c>
      <c r="E52">
        <v>84508</v>
      </c>
      <c r="F52">
        <v>108425</v>
      </c>
      <c r="G52">
        <v>150</v>
      </c>
      <c r="H52">
        <v>41</v>
      </c>
      <c r="I52" t="s">
        <v>15</v>
      </c>
      <c r="J52">
        <v>19441</v>
      </c>
      <c r="K52">
        <v>1</v>
      </c>
    </row>
    <row r="53" spans="1:11" x14ac:dyDescent="0.35">
      <c r="A53" t="s">
        <v>23</v>
      </c>
      <c r="B53" t="s">
        <v>17</v>
      </c>
      <c r="C53" t="s">
        <v>13</v>
      </c>
      <c r="D53">
        <v>88144</v>
      </c>
      <c r="E53">
        <v>78908</v>
      </c>
      <c r="F53">
        <v>9236</v>
      </c>
      <c r="G53">
        <v>142</v>
      </c>
      <c r="H53">
        <v>47</v>
      </c>
      <c r="I53">
        <v>3888976</v>
      </c>
      <c r="J53">
        <v>37667</v>
      </c>
      <c r="K53">
        <v>4</v>
      </c>
    </row>
    <row r="54" spans="1:11" x14ac:dyDescent="0.35">
      <c r="A54" t="s">
        <v>23</v>
      </c>
      <c r="B54" t="s">
        <v>17</v>
      </c>
      <c r="C54" t="s">
        <v>14</v>
      </c>
      <c r="D54">
        <v>74290</v>
      </c>
      <c r="E54">
        <v>44017</v>
      </c>
      <c r="F54">
        <v>30273</v>
      </c>
      <c r="G54">
        <v>228</v>
      </c>
      <c r="H54">
        <v>47</v>
      </c>
      <c r="I54" t="s">
        <v>15</v>
      </c>
      <c r="J54">
        <v>22479</v>
      </c>
      <c r="K54">
        <v>3</v>
      </c>
    </row>
    <row r="55" spans="1:11" x14ac:dyDescent="0.35">
      <c r="A55" t="s">
        <v>23</v>
      </c>
      <c r="B55" t="s">
        <v>17</v>
      </c>
      <c r="C55" t="s">
        <v>16</v>
      </c>
      <c r="D55">
        <v>122748</v>
      </c>
      <c r="E55">
        <v>74529</v>
      </c>
      <c r="F55">
        <v>48219</v>
      </c>
      <c r="G55">
        <v>173</v>
      </c>
      <c r="H55">
        <v>42</v>
      </c>
      <c r="I55" t="s">
        <v>15</v>
      </c>
      <c r="J55">
        <v>13630</v>
      </c>
      <c r="K55">
        <v>2</v>
      </c>
    </row>
    <row r="56" spans="1:11" x14ac:dyDescent="0.35">
      <c r="A56" t="s">
        <v>23</v>
      </c>
      <c r="B56" t="s">
        <v>18</v>
      </c>
      <c r="C56" t="s">
        <v>13</v>
      </c>
      <c r="D56">
        <v>100367</v>
      </c>
      <c r="E56">
        <v>96952</v>
      </c>
      <c r="F56">
        <v>3415</v>
      </c>
      <c r="G56">
        <v>122</v>
      </c>
      <c r="H56">
        <v>23</v>
      </c>
      <c r="I56">
        <v>3199007</v>
      </c>
      <c r="J56">
        <v>49843</v>
      </c>
      <c r="K56">
        <v>3</v>
      </c>
    </row>
    <row r="57" spans="1:11" x14ac:dyDescent="0.35">
      <c r="A57" t="s">
        <v>23</v>
      </c>
      <c r="B57" t="s">
        <v>18</v>
      </c>
      <c r="C57" t="s">
        <v>14</v>
      </c>
      <c r="D57">
        <v>101529</v>
      </c>
      <c r="E57">
        <v>89700</v>
      </c>
      <c r="F57">
        <v>11829</v>
      </c>
      <c r="G57">
        <v>144</v>
      </c>
      <c r="H57">
        <v>28</v>
      </c>
      <c r="I57" t="s">
        <v>15</v>
      </c>
      <c r="J57">
        <v>29606</v>
      </c>
      <c r="K57">
        <v>1</v>
      </c>
    </row>
    <row r="58" spans="1:11" x14ac:dyDescent="0.35">
      <c r="A58" t="s">
        <v>23</v>
      </c>
      <c r="B58" t="s">
        <v>18</v>
      </c>
      <c r="C58" t="s">
        <v>16</v>
      </c>
      <c r="D58">
        <v>103330</v>
      </c>
      <c r="E58">
        <v>115217</v>
      </c>
      <c r="F58">
        <v>-11887</v>
      </c>
      <c r="G58">
        <v>190</v>
      </c>
      <c r="H58">
        <v>59</v>
      </c>
      <c r="I58" t="s">
        <v>15</v>
      </c>
      <c r="J58">
        <v>11085</v>
      </c>
      <c r="K58">
        <v>1</v>
      </c>
    </row>
    <row r="59" spans="1:11" x14ac:dyDescent="0.35">
      <c r="A59" t="s">
        <v>23</v>
      </c>
      <c r="B59" t="s">
        <v>19</v>
      </c>
      <c r="C59" t="s">
        <v>13</v>
      </c>
      <c r="D59">
        <v>189128</v>
      </c>
      <c r="E59">
        <v>70559</v>
      </c>
      <c r="F59">
        <v>118569</v>
      </c>
      <c r="G59">
        <v>181</v>
      </c>
      <c r="H59">
        <v>40</v>
      </c>
      <c r="I59">
        <v>4534021</v>
      </c>
      <c r="J59">
        <v>53324</v>
      </c>
      <c r="K59">
        <v>10</v>
      </c>
    </row>
    <row r="60" spans="1:11" x14ac:dyDescent="0.35">
      <c r="A60" t="s">
        <v>23</v>
      </c>
      <c r="B60" t="s">
        <v>19</v>
      </c>
      <c r="C60" t="s">
        <v>14</v>
      </c>
      <c r="D60">
        <v>108867</v>
      </c>
      <c r="E60">
        <v>68222</v>
      </c>
      <c r="F60">
        <v>40645</v>
      </c>
      <c r="G60">
        <v>177</v>
      </c>
      <c r="H60">
        <v>53</v>
      </c>
      <c r="I60" t="s">
        <v>15</v>
      </c>
      <c r="J60">
        <v>25614</v>
      </c>
      <c r="K60">
        <v>1</v>
      </c>
    </row>
    <row r="61" spans="1:11" x14ac:dyDescent="0.35">
      <c r="A61" t="s">
        <v>23</v>
      </c>
      <c r="B61" t="s">
        <v>19</v>
      </c>
      <c r="C61" t="s">
        <v>16</v>
      </c>
      <c r="D61">
        <v>145875</v>
      </c>
      <c r="E61">
        <v>98162</v>
      </c>
      <c r="F61">
        <v>47713</v>
      </c>
      <c r="G61">
        <v>226</v>
      </c>
      <c r="H61">
        <v>58</v>
      </c>
      <c r="I61" t="s">
        <v>15</v>
      </c>
      <c r="J61">
        <v>14101</v>
      </c>
      <c r="K61">
        <v>2</v>
      </c>
    </row>
    <row r="62" spans="1:11" x14ac:dyDescent="0.35">
      <c r="A62" t="s">
        <v>24</v>
      </c>
      <c r="B62" t="s">
        <v>12</v>
      </c>
      <c r="C62" t="s">
        <v>13</v>
      </c>
      <c r="D62">
        <v>79475</v>
      </c>
      <c r="E62">
        <v>102809</v>
      </c>
      <c r="F62">
        <v>-23334</v>
      </c>
      <c r="G62">
        <v>154</v>
      </c>
      <c r="H62">
        <v>21</v>
      </c>
      <c r="I62">
        <v>2654969</v>
      </c>
      <c r="J62">
        <v>45307</v>
      </c>
      <c r="K62">
        <v>3</v>
      </c>
    </row>
    <row r="63" spans="1:11" x14ac:dyDescent="0.35">
      <c r="A63" t="s">
        <v>24</v>
      </c>
      <c r="B63" t="s">
        <v>12</v>
      </c>
      <c r="C63" t="s">
        <v>14</v>
      </c>
      <c r="D63">
        <v>110747</v>
      </c>
      <c r="E63">
        <v>56724</v>
      </c>
      <c r="F63">
        <v>54023</v>
      </c>
      <c r="G63">
        <v>134</v>
      </c>
      <c r="H63">
        <v>27</v>
      </c>
      <c r="I63" t="s">
        <v>15</v>
      </c>
      <c r="J63">
        <v>23610</v>
      </c>
      <c r="K63">
        <v>2</v>
      </c>
    </row>
    <row r="64" spans="1:11" x14ac:dyDescent="0.35">
      <c r="A64" t="s">
        <v>24</v>
      </c>
      <c r="B64" t="s">
        <v>12</v>
      </c>
      <c r="C64" t="s">
        <v>16</v>
      </c>
      <c r="D64">
        <v>104098</v>
      </c>
      <c r="E64">
        <v>77106</v>
      </c>
      <c r="F64">
        <v>26992</v>
      </c>
      <c r="G64">
        <v>161</v>
      </c>
      <c r="H64">
        <v>62</v>
      </c>
      <c r="I64" t="s">
        <v>15</v>
      </c>
      <c r="J64">
        <v>11800</v>
      </c>
      <c r="K64">
        <v>0</v>
      </c>
    </row>
    <row r="65" spans="1:11" x14ac:dyDescent="0.35">
      <c r="A65" t="s">
        <v>24</v>
      </c>
      <c r="B65" t="s">
        <v>17</v>
      </c>
      <c r="C65" t="s">
        <v>13</v>
      </c>
      <c r="D65">
        <v>150930</v>
      </c>
      <c r="E65">
        <v>72848</v>
      </c>
      <c r="F65">
        <v>78082</v>
      </c>
      <c r="G65">
        <v>242</v>
      </c>
      <c r="H65">
        <v>65</v>
      </c>
      <c r="I65">
        <v>2736177</v>
      </c>
      <c r="J65">
        <v>46041</v>
      </c>
      <c r="K65">
        <v>5</v>
      </c>
    </row>
    <row r="66" spans="1:11" x14ac:dyDescent="0.35">
      <c r="A66" t="s">
        <v>24</v>
      </c>
      <c r="B66" t="s">
        <v>17</v>
      </c>
      <c r="C66" t="s">
        <v>14</v>
      </c>
      <c r="D66">
        <v>96430</v>
      </c>
      <c r="E66">
        <v>44609</v>
      </c>
      <c r="F66">
        <v>51821</v>
      </c>
      <c r="G66">
        <v>181</v>
      </c>
      <c r="H66">
        <v>24</v>
      </c>
      <c r="I66" t="s">
        <v>15</v>
      </c>
      <c r="J66">
        <v>26377</v>
      </c>
      <c r="K66">
        <v>3</v>
      </c>
    </row>
    <row r="67" spans="1:11" x14ac:dyDescent="0.35">
      <c r="A67" t="s">
        <v>24</v>
      </c>
      <c r="B67" t="s">
        <v>17</v>
      </c>
      <c r="C67" t="s">
        <v>16</v>
      </c>
      <c r="D67">
        <v>75785</v>
      </c>
      <c r="E67">
        <v>106276</v>
      </c>
      <c r="F67">
        <v>-30491</v>
      </c>
      <c r="G67">
        <v>166</v>
      </c>
      <c r="H67">
        <v>44</v>
      </c>
      <c r="I67" t="s">
        <v>15</v>
      </c>
      <c r="J67">
        <v>10174</v>
      </c>
      <c r="K67">
        <v>1</v>
      </c>
    </row>
    <row r="68" spans="1:11" x14ac:dyDescent="0.35">
      <c r="A68" t="s">
        <v>24</v>
      </c>
      <c r="B68" t="s">
        <v>18</v>
      </c>
      <c r="C68" t="s">
        <v>13</v>
      </c>
      <c r="D68">
        <v>192642</v>
      </c>
      <c r="E68">
        <v>37685</v>
      </c>
      <c r="F68">
        <v>154957</v>
      </c>
      <c r="G68">
        <v>116</v>
      </c>
      <c r="H68">
        <v>24</v>
      </c>
      <c r="I68">
        <v>4217260</v>
      </c>
      <c r="J68">
        <v>45946</v>
      </c>
      <c r="K68">
        <v>5</v>
      </c>
    </row>
    <row r="69" spans="1:11" x14ac:dyDescent="0.35">
      <c r="A69" t="s">
        <v>24</v>
      </c>
      <c r="B69" t="s">
        <v>18</v>
      </c>
      <c r="C69" t="s">
        <v>14</v>
      </c>
      <c r="D69">
        <v>81182</v>
      </c>
      <c r="E69">
        <v>106525</v>
      </c>
      <c r="F69">
        <v>-25343</v>
      </c>
      <c r="G69">
        <v>91</v>
      </c>
      <c r="H69">
        <v>46</v>
      </c>
      <c r="I69" t="s">
        <v>15</v>
      </c>
      <c r="J69">
        <v>25323</v>
      </c>
      <c r="K69">
        <v>1</v>
      </c>
    </row>
    <row r="70" spans="1:11" x14ac:dyDescent="0.35">
      <c r="A70" t="s">
        <v>24</v>
      </c>
      <c r="B70" t="s">
        <v>18</v>
      </c>
      <c r="C70" t="s">
        <v>16</v>
      </c>
      <c r="D70">
        <v>197216</v>
      </c>
      <c r="E70">
        <v>112939</v>
      </c>
      <c r="F70">
        <v>84277</v>
      </c>
      <c r="G70">
        <v>121</v>
      </c>
      <c r="H70">
        <v>29</v>
      </c>
      <c r="I70" t="s">
        <v>15</v>
      </c>
      <c r="J70">
        <v>12374</v>
      </c>
      <c r="K70">
        <v>1</v>
      </c>
    </row>
    <row r="71" spans="1:11" x14ac:dyDescent="0.35">
      <c r="A71" t="s">
        <v>24</v>
      </c>
      <c r="B71" t="s">
        <v>19</v>
      </c>
      <c r="C71" t="s">
        <v>13</v>
      </c>
      <c r="D71">
        <v>158382</v>
      </c>
      <c r="E71">
        <v>73989</v>
      </c>
      <c r="F71">
        <v>84393</v>
      </c>
      <c r="G71">
        <v>127</v>
      </c>
      <c r="H71">
        <v>45</v>
      </c>
      <c r="I71">
        <v>3733940</v>
      </c>
      <c r="J71">
        <v>43928</v>
      </c>
      <c r="K71">
        <v>6</v>
      </c>
    </row>
    <row r="72" spans="1:11" x14ac:dyDescent="0.35">
      <c r="A72" t="s">
        <v>24</v>
      </c>
      <c r="B72" t="s">
        <v>19</v>
      </c>
      <c r="C72" t="s">
        <v>14</v>
      </c>
      <c r="D72">
        <v>126735</v>
      </c>
      <c r="E72">
        <v>116043</v>
      </c>
      <c r="F72">
        <v>10692</v>
      </c>
      <c r="G72">
        <v>120</v>
      </c>
      <c r="H72">
        <v>35</v>
      </c>
      <c r="I72" t="s">
        <v>15</v>
      </c>
      <c r="J72">
        <v>26019</v>
      </c>
      <c r="K72">
        <v>1</v>
      </c>
    </row>
    <row r="73" spans="1:11" x14ac:dyDescent="0.35">
      <c r="A73" t="s">
        <v>24</v>
      </c>
      <c r="B73" t="s">
        <v>19</v>
      </c>
      <c r="C73" t="s">
        <v>16</v>
      </c>
      <c r="D73">
        <v>119259</v>
      </c>
      <c r="E73">
        <v>81604</v>
      </c>
      <c r="F73">
        <v>37655</v>
      </c>
      <c r="G73">
        <v>180</v>
      </c>
      <c r="H73">
        <v>70</v>
      </c>
      <c r="I73" t="s">
        <v>15</v>
      </c>
      <c r="J73">
        <v>18579</v>
      </c>
      <c r="K73">
        <v>1</v>
      </c>
    </row>
    <row r="74" spans="1:11" x14ac:dyDescent="0.35">
      <c r="A74" t="s">
        <v>25</v>
      </c>
      <c r="B74" t="s">
        <v>12</v>
      </c>
      <c r="C74" t="s">
        <v>13</v>
      </c>
      <c r="D74">
        <v>78259</v>
      </c>
      <c r="E74">
        <v>78925</v>
      </c>
      <c r="F74">
        <v>-666</v>
      </c>
      <c r="G74">
        <v>182</v>
      </c>
      <c r="H74">
        <v>57</v>
      </c>
      <c r="I74">
        <v>4072812</v>
      </c>
      <c r="J74">
        <v>43154</v>
      </c>
      <c r="K74">
        <v>4</v>
      </c>
    </row>
    <row r="75" spans="1:11" x14ac:dyDescent="0.35">
      <c r="A75" t="s">
        <v>25</v>
      </c>
      <c r="B75" t="s">
        <v>12</v>
      </c>
      <c r="C75" t="s">
        <v>14</v>
      </c>
      <c r="D75">
        <v>124014</v>
      </c>
      <c r="E75">
        <v>58991</v>
      </c>
      <c r="F75">
        <v>65023</v>
      </c>
      <c r="G75">
        <v>220</v>
      </c>
      <c r="H75">
        <v>55</v>
      </c>
      <c r="I75" t="s">
        <v>15</v>
      </c>
      <c r="J75">
        <v>16746</v>
      </c>
      <c r="K75">
        <v>1</v>
      </c>
    </row>
    <row r="76" spans="1:11" x14ac:dyDescent="0.35">
      <c r="A76" t="s">
        <v>25</v>
      </c>
      <c r="B76" t="s">
        <v>12</v>
      </c>
      <c r="C76" t="s">
        <v>16</v>
      </c>
      <c r="D76">
        <v>85016</v>
      </c>
      <c r="E76">
        <v>83019</v>
      </c>
      <c r="F76">
        <v>1997</v>
      </c>
      <c r="G76">
        <v>226</v>
      </c>
      <c r="H76">
        <v>63</v>
      </c>
      <c r="I76" t="s">
        <v>15</v>
      </c>
      <c r="J76">
        <v>19330</v>
      </c>
      <c r="K76">
        <v>0</v>
      </c>
    </row>
    <row r="77" spans="1:11" x14ac:dyDescent="0.35">
      <c r="A77" t="s">
        <v>25</v>
      </c>
      <c r="B77" t="s">
        <v>17</v>
      </c>
      <c r="C77" t="s">
        <v>13</v>
      </c>
      <c r="D77">
        <v>111472</v>
      </c>
      <c r="E77">
        <v>32244</v>
      </c>
      <c r="F77">
        <v>79228</v>
      </c>
      <c r="G77">
        <v>131</v>
      </c>
      <c r="H77">
        <v>69</v>
      </c>
      <c r="I77">
        <v>4224164</v>
      </c>
      <c r="J77">
        <v>48250</v>
      </c>
      <c r="K77">
        <v>7</v>
      </c>
    </row>
    <row r="78" spans="1:11" x14ac:dyDescent="0.35">
      <c r="A78" t="s">
        <v>25</v>
      </c>
      <c r="B78" t="s">
        <v>17</v>
      </c>
      <c r="C78" t="s">
        <v>14</v>
      </c>
      <c r="D78">
        <v>126918</v>
      </c>
      <c r="E78">
        <v>43634</v>
      </c>
      <c r="F78">
        <v>83284</v>
      </c>
      <c r="G78">
        <v>124</v>
      </c>
      <c r="H78">
        <v>32</v>
      </c>
      <c r="I78" t="s">
        <v>15</v>
      </c>
      <c r="J78">
        <v>22289</v>
      </c>
      <c r="K78">
        <v>3</v>
      </c>
    </row>
    <row r="79" spans="1:11" x14ac:dyDescent="0.35">
      <c r="A79" t="s">
        <v>25</v>
      </c>
      <c r="B79" t="s">
        <v>17</v>
      </c>
      <c r="C79" t="s">
        <v>16</v>
      </c>
      <c r="D79">
        <v>172555</v>
      </c>
      <c r="E79">
        <v>63363</v>
      </c>
      <c r="F79">
        <v>109192</v>
      </c>
      <c r="G79">
        <v>141</v>
      </c>
      <c r="H79">
        <v>44</v>
      </c>
      <c r="I79" t="s">
        <v>15</v>
      </c>
      <c r="J79">
        <v>10635</v>
      </c>
      <c r="K79">
        <v>0</v>
      </c>
    </row>
    <row r="80" spans="1:11" x14ac:dyDescent="0.35">
      <c r="A80" t="s">
        <v>25</v>
      </c>
      <c r="B80" t="s">
        <v>18</v>
      </c>
      <c r="C80" t="s">
        <v>13</v>
      </c>
      <c r="D80">
        <v>62192</v>
      </c>
      <c r="E80">
        <v>101131</v>
      </c>
      <c r="F80">
        <v>-38939</v>
      </c>
      <c r="G80">
        <v>103</v>
      </c>
      <c r="H80">
        <v>45</v>
      </c>
      <c r="I80">
        <v>4622807</v>
      </c>
      <c r="J80">
        <v>44711</v>
      </c>
      <c r="K80">
        <v>5</v>
      </c>
    </row>
    <row r="81" spans="1:11" x14ac:dyDescent="0.35">
      <c r="A81" t="s">
        <v>25</v>
      </c>
      <c r="B81" t="s">
        <v>18</v>
      </c>
      <c r="C81" t="s">
        <v>14</v>
      </c>
      <c r="D81">
        <v>197335</v>
      </c>
      <c r="E81">
        <v>32643</v>
      </c>
      <c r="F81">
        <v>164692</v>
      </c>
      <c r="G81">
        <v>169</v>
      </c>
      <c r="H81">
        <v>70</v>
      </c>
      <c r="I81" t="s">
        <v>15</v>
      </c>
      <c r="J81">
        <v>19570</v>
      </c>
      <c r="K81">
        <v>3</v>
      </c>
    </row>
    <row r="82" spans="1:11" x14ac:dyDescent="0.35">
      <c r="A82" t="s">
        <v>25</v>
      </c>
      <c r="B82" t="s">
        <v>18</v>
      </c>
      <c r="C82" t="s">
        <v>16</v>
      </c>
      <c r="D82">
        <v>61383</v>
      </c>
      <c r="E82">
        <v>113428</v>
      </c>
      <c r="F82">
        <v>-52045</v>
      </c>
      <c r="G82">
        <v>217</v>
      </c>
      <c r="H82">
        <v>58</v>
      </c>
      <c r="I82" t="s">
        <v>15</v>
      </c>
      <c r="J82">
        <v>12466</v>
      </c>
      <c r="K82">
        <v>2</v>
      </c>
    </row>
    <row r="83" spans="1:11" x14ac:dyDescent="0.35">
      <c r="A83" t="s">
        <v>25</v>
      </c>
      <c r="B83" t="s">
        <v>19</v>
      </c>
      <c r="C83" t="s">
        <v>13</v>
      </c>
      <c r="D83">
        <v>120050</v>
      </c>
      <c r="E83">
        <v>44476</v>
      </c>
      <c r="F83">
        <v>75574</v>
      </c>
      <c r="G83">
        <v>244</v>
      </c>
      <c r="H83">
        <v>26</v>
      </c>
      <c r="I83">
        <v>3131805</v>
      </c>
      <c r="J83">
        <v>46866</v>
      </c>
      <c r="K83">
        <v>4</v>
      </c>
    </row>
    <row r="84" spans="1:11" x14ac:dyDescent="0.35">
      <c r="A84" t="s">
        <v>25</v>
      </c>
      <c r="B84" t="s">
        <v>19</v>
      </c>
      <c r="C84" t="s">
        <v>14</v>
      </c>
      <c r="D84">
        <v>88362</v>
      </c>
      <c r="E84">
        <v>88357</v>
      </c>
      <c r="F84">
        <v>5</v>
      </c>
      <c r="G84">
        <v>192</v>
      </c>
      <c r="H84">
        <v>52</v>
      </c>
      <c r="I84" t="s">
        <v>15</v>
      </c>
      <c r="J84">
        <v>25475</v>
      </c>
      <c r="K84">
        <v>3</v>
      </c>
    </row>
    <row r="85" spans="1:11" x14ac:dyDescent="0.35">
      <c r="A85" t="s">
        <v>25</v>
      </c>
      <c r="B85" t="s">
        <v>19</v>
      </c>
      <c r="C85" t="s">
        <v>16</v>
      </c>
      <c r="D85">
        <v>126891</v>
      </c>
      <c r="E85">
        <v>81392</v>
      </c>
      <c r="F85">
        <v>45499</v>
      </c>
      <c r="G85">
        <v>228</v>
      </c>
      <c r="H85">
        <v>61</v>
      </c>
      <c r="I85" t="s">
        <v>15</v>
      </c>
      <c r="J85">
        <v>13569</v>
      </c>
      <c r="K85">
        <v>0</v>
      </c>
    </row>
    <row r="86" spans="1:11" x14ac:dyDescent="0.35">
      <c r="A86" t="s">
        <v>26</v>
      </c>
      <c r="B86" t="s">
        <v>12</v>
      </c>
      <c r="C86" t="s">
        <v>13</v>
      </c>
      <c r="D86">
        <v>192978</v>
      </c>
      <c r="E86">
        <v>37346</v>
      </c>
      <c r="F86">
        <v>155632</v>
      </c>
      <c r="G86">
        <v>216</v>
      </c>
      <c r="H86">
        <v>41</v>
      </c>
      <c r="I86">
        <v>4771224</v>
      </c>
      <c r="J86">
        <v>41294</v>
      </c>
      <c r="K86">
        <v>10</v>
      </c>
    </row>
    <row r="87" spans="1:11" x14ac:dyDescent="0.35">
      <c r="A87" t="s">
        <v>26</v>
      </c>
      <c r="B87" t="s">
        <v>12</v>
      </c>
      <c r="C87" t="s">
        <v>14</v>
      </c>
      <c r="D87">
        <v>83926</v>
      </c>
      <c r="E87">
        <v>118118</v>
      </c>
      <c r="F87">
        <v>-34192</v>
      </c>
      <c r="G87">
        <v>159</v>
      </c>
      <c r="H87">
        <v>39</v>
      </c>
      <c r="I87" t="s">
        <v>15</v>
      </c>
      <c r="J87">
        <v>16269</v>
      </c>
      <c r="K87">
        <v>2</v>
      </c>
    </row>
    <row r="88" spans="1:11" x14ac:dyDescent="0.35">
      <c r="A88" t="s">
        <v>26</v>
      </c>
      <c r="B88" t="s">
        <v>12</v>
      </c>
      <c r="C88" t="s">
        <v>16</v>
      </c>
      <c r="D88">
        <v>125291</v>
      </c>
      <c r="E88">
        <v>31618</v>
      </c>
      <c r="F88">
        <v>93673</v>
      </c>
      <c r="G88">
        <v>174</v>
      </c>
      <c r="H88">
        <v>57</v>
      </c>
      <c r="I88" t="s">
        <v>15</v>
      </c>
      <c r="J88">
        <v>19833</v>
      </c>
      <c r="K88">
        <v>2</v>
      </c>
    </row>
    <row r="89" spans="1:11" x14ac:dyDescent="0.35">
      <c r="A89" t="s">
        <v>26</v>
      </c>
      <c r="B89" t="s">
        <v>17</v>
      </c>
      <c r="C89" t="s">
        <v>13</v>
      </c>
      <c r="D89">
        <v>184314</v>
      </c>
      <c r="E89">
        <v>50725</v>
      </c>
      <c r="F89">
        <v>133589</v>
      </c>
      <c r="G89">
        <v>227</v>
      </c>
      <c r="H89">
        <v>28</v>
      </c>
      <c r="I89">
        <v>4644907</v>
      </c>
      <c r="J89">
        <v>33291</v>
      </c>
      <c r="K89">
        <v>7</v>
      </c>
    </row>
    <row r="90" spans="1:11" x14ac:dyDescent="0.35">
      <c r="A90" t="s">
        <v>26</v>
      </c>
      <c r="B90" t="s">
        <v>17</v>
      </c>
      <c r="C90" t="s">
        <v>14</v>
      </c>
      <c r="D90">
        <v>99651</v>
      </c>
      <c r="E90">
        <v>66366</v>
      </c>
      <c r="F90">
        <v>33285</v>
      </c>
      <c r="G90">
        <v>232</v>
      </c>
      <c r="H90">
        <v>43</v>
      </c>
      <c r="I90" t="s">
        <v>15</v>
      </c>
      <c r="J90">
        <v>23732</v>
      </c>
      <c r="K90">
        <v>3</v>
      </c>
    </row>
    <row r="91" spans="1:11" x14ac:dyDescent="0.35">
      <c r="A91" t="s">
        <v>26</v>
      </c>
      <c r="B91" t="s">
        <v>17</v>
      </c>
      <c r="C91" t="s">
        <v>16</v>
      </c>
      <c r="D91">
        <v>166791</v>
      </c>
      <c r="E91">
        <v>92339</v>
      </c>
      <c r="F91">
        <v>74452</v>
      </c>
      <c r="G91">
        <v>151</v>
      </c>
      <c r="H91">
        <v>29</v>
      </c>
      <c r="I91" t="s">
        <v>15</v>
      </c>
      <c r="J91">
        <v>11601</v>
      </c>
      <c r="K91">
        <v>1</v>
      </c>
    </row>
    <row r="92" spans="1:11" x14ac:dyDescent="0.35">
      <c r="A92" t="s">
        <v>26</v>
      </c>
      <c r="B92" t="s">
        <v>18</v>
      </c>
      <c r="C92" t="s">
        <v>13</v>
      </c>
      <c r="D92">
        <v>105732</v>
      </c>
      <c r="E92">
        <v>45781</v>
      </c>
      <c r="F92">
        <v>59951</v>
      </c>
      <c r="G92">
        <v>156</v>
      </c>
      <c r="H92">
        <v>51</v>
      </c>
      <c r="I92">
        <v>4464352</v>
      </c>
      <c r="J92">
        <v>46958</v>
      </c>
      <c r="K92">
        <v>10</v>
      </c>
    </row>
    <row r="93" spans="1:11" x14ac:dyDescent="0.35">
      <c r="A93" t="s">
        <v>26</v>
      </c>
      <c r="B93" t="s">
        <v>18</v>
      </c>
      <c r="C93" t="s">
        <v>14</v>
      </c>
      <c r="D93">
        <v>95591</v>
      </c>
      <c r="E93">
        <v>35981</v>
      </c>
      <c r="F93">
        <v>59610</v>
      </c>
      <c r="G93">
        <v>202</v>
      </c>
      <c r="H93">
        <v>67</v>
      </c>
      <c r="I93" t="s">
        <v>15</v>
      </c>
      <c r="J93">
        <v>19640</v>
      </c>
      <c r="K93">
        <v>2</v>
      </c>
    </row>
    <row r="94" spans="1:11" x14ac:dyDescent="0.35">
      <c r="A94" t="s">
        <v>26</v>
      </c>
      <c r="B94" t="s">
        <v>18</v>
      </c>
      <c r="C94" t="s">
        <v>16</v>
      </c>
      <c r="D94">
        <v>159855</v>
      </c>
      <c r="E94">
        <v>69498</v>
      </c>
      <c r="F94">
        <v>90357</v>
      </c>
      <c r="G94">
        <v>218</v>
      </c>
      <c r="H94">
        <v>58</v>
      </c>
      <c r="I94" t="s">
        <v>15</v>
      </c>
      <c r="J94">
        <v>11305</v>
      </c>
      <c r="K94">
        <v>0</v>
      </c>
    </row>
    <row r="95" spans="1:11" x14ac:dyDescent="0.35">
      <c r="A95" t="s">
        <v>26</v>
      </c>
      <c r="B95" t="s">
        <v>19</v>
      </c>
      <c r="C95" t="s">
        <v>13</v>
      </c>
      <c r="D95">
        <v>85542</v>
      </c>
      <c r="E95">
        <v>50562</v>
      </c>
      <c r="F95">
        <v>34980</v>
      </c>
      <c r="G95">
        <v>141</v>
      </c>
      <c r="H95">
        <v>39</v>
      </c>
      <c r="I95">
        <v>4089842</v>
      </c>
      <c r="J95">
        <v>53533</v>
      </c>
      <c r="K95">
        <v>7</v>
      </c>
    </row>
    <row r="96" spans="1:11" x14ac:dyDescent="0.35">
      <c r="A96" t="s">
        <v>26</v>
      </c>
      <c r="B96" t="s">
        <v>19</v>
      </c>
      <c r="C96" t="s">
        <v>14</v>
      </c>
      <c r="D96">
        <v>165005</v>
      </c>
      <c r="E96">
        <v>33146</v>
      </c>
      <c r="F96">
        <v>131859</v>
      </c>
      <c r="G96">
        <v>147</v>
      </c>
      <c r="H96">
        <v>69</v>
      </c>
      <c r="I96" t="s">
        <v>15</v>
      </c>
      <c r="J96">
        <v>21381</v>
      </c>
      <c r="K96">
        <v>2</v>
      </c>
    </row>
    <row r="97" spans="1:11" x14ac:dyDescent="0.35">
      <c r="A97" t="s">
        <v>26</v>
      </c>
      <c r="B97" t="s">
        <v>19</v>
      </c>
      <c r="C97" t="s">
        <v>16</v>
      </c>
      <c r="D97">
        <v>193714</v>
      </c>
      <c r="E97">
        <v>51857</v>
      </c>
      <c r="F97">
        <v>141857</v>
      </c>
      <c r="G97">
        <v>130</v>
      </c>
      <c r="H97">
        <v>21</v>
      </c>
      <c r="I97" t="s">
        <v>15</v>
      </c>
      <c r="J97">
        <v>10873</v>
      </c>
      <c r="K97">
        <v>0</v>
      </c>
    </row>
    <row r="98" spans="1:11" x14ac:dyDescent="0.35">
      <c r="A98" t="s">
        <v>27</v>
      </c>
      <c r="B98" t="s">
        <v>12</v>
      </c>
      <c r="C98" t="s">
        <v>13</v>
      </c>
      <c r="D98">
        <v>168094</v>
      </c>
      <c r="E98">
        <v>92451</v>
      </c>
      <c r="F98">
        <v>75643</v>
      </c>
      <c r="G98">
        <v>155</v>
      </c>
      <c r="H98">
        <v>58</v>
      </c>
      <c r="I98">
        <v>4932548</v>
      </c>
      <c r="J98">
        <v>45547</v>
      </c>
      <c r="K98">
        <v>9</v>
      </c>
    </row>
    <row r="99" spans="1:11" x14ac:dyDescent="0.35">
      <c r="A99" t="s">
        <v>27</v>
      </c>
      <c r="B99" t="s">
        <v>12</v>
      </c>
      <c r="C99" t="s">
        <v>14</v>
      </c>
      <c r="D99">
        <v>142257</v>
      </c>
      <c r="E99">
        <v>30300</v>
      </c>
      <c r="F99">
        <v>111957</v>
      </c>
      <c r="G99">
        <v>200</v>
      </c>
      <c r="H99">
        <v>52</v>
      </c>
      <c r="I99" t="s">
        <v>15</v>
      </c>
      <c r="J99">
        <v>15592</v>
      </c>
      <c r="K99">
        <v>2</v>
      </c>
    </row>
    <row r="100" spans="1:11" x14ac:dyDescent="0.35">
      <c r="A100" t="s">
        <v>27</v>
      </c>
      <c r="B100" t="s">
        <v>12</v>
      </c>
      <c r="C100" t="s">
        <v>16</v>
      </c>
      <c r="D100">
        <v>156347</v>
      </c>
      <c r="E100">
        <v>47379</v>
      </c>
      <c r="F100">
        <v>108968</v>
      </c>
      <c r="G100">
        <v>98</v>
      </c>
      <c r="H100">
        <v>20</v>
      </c>
      <c r="I100" t="s">
        <v>15</v>
      </c>
      <c r="J100">
        <v>16525</v>
      </c>
      <c r="K100">
        <v>1</v>
      </c>
    </row>
    <row r="101" spans="1:11" x14ac:dyDescent="0.35">
      <c r="A101" t="s">
        <v>27</v>
      </c>
      <c r="B101" t="s">
        <v>17</v>
      </c>
      <c r="C101" t="s">
        <v>13</v>
      </c>
      <c r="D101">
        <v>176384</v>
      </c>
      <c r="E101">
        <v>67342</v>
      </c>
      <c r="F101">
        <v>109042</v>
      </c>
      <c r="G101">
        <v>228</v>
      </c>
      <c r="H101">
        <v>28</v>
      </c>
      <c r="I101">
        <v>3042417</v>
      </c>
      <c r="J101">
        <v>36580</v>
      </c>
      <c r="K101">
        <v>10</v>
      </c>
    </row>
    <row r="102" spans="1:11" x14ac:dyDescent="0.35">
      <c r="A102" t="s">
        <v>27</v>
      </c>
      <c r="B102" t="s">
        <v>17</v>
      </c>
      <c r="C102" t="s">
        <v>14</v>
      </c>
      <c r="D102">
        <v>138358</v>
      </c>
      <c r="E102">
        <v>53599</v>
      </c>
      <c r="F102">
        <v>84759</v>
      </c>
      <c r="G102">
        <v>183</v>
      </c>
      <c r="H102">
        <v>40</v>
      </c>
      <c r="I102" t="s">
        <v>15</v>
      </c>
      <c r="J102">
        <v>27224</v>
      </c>
      <c r="K102">
        <v>4</v>
      </c>
    </row>
    <row r="103" spans="1:11" x14ac:dyDescent="0.35">
      <c r="A103" t="s">
        <v>27</v>
      </c>
      <c r="B103" t="s">
        <v>17</v>
      </c>
      <c r="C103" t="s">
        <v>16</v>
      </c>
      <c r="D103">
        <v>78603</v>
      </c>
      <c r="E103">
        <v>44103</v>
      </c>
      <c r="F103">
        <v>34500</v>
      </c>
      <c r="G103">
        <v>195</v>
      </c>
      <c r="H103">
        <v>47</v>
      </c>
      <c r="I103" t="s">
        <v>15</v>
      </c>
      <c r="J103">
        <v>14278</v>
      </c>
      <c r="K103">
        <v>1</v>
      </c>
    </row>
    <row r="104" spans="1:11" x14ac:dyDescent="0.35">
      <c r="A104" t="s">
        <v>27</v>
      </c>
      <c r="B104" t="s">
        <v>18</v>
      </c>
      <c r="C104" t="s">
        <v>13</v>
      </c>
      <c r="D104">
        <v>126931</v>
      </c>
      <c r="E104">
        <v>76794</v>
      </c>
      <c r="F104">
        <v>50137</v>
      </c>
      <c r="G104">
        <v>214</v>
      </c>
      <c r="H104">
        <v>26</v>
      </c>
      <c r="I104">
        <v>2781832</v>
      </c>
      <c r="J104">
        <v>47936</v>
      </c>
      <c r="K104">
        <v>10</v>
      </c>
    </row>
    <row r="105" spans="1:11" x14ac:dyDescent="0.35">
      <c r="A105" t="s">
        <v>27</v>
      </c>
      <c r="B105" t="s">
        <v>18</v>
      </c>
      <c r="C105" t="s">
        <v>14</v>
      </c>
      <c r="D105">
        <v>189420</v>
      </c>
      <c r="E105">
        <v>43428</v>
      </c>
      <c r="F105">
        <v>145992</v>
      </c>
      <c r="G105">
        <v>202</v>
      </c>
      <c r="H105">
        <v>61</v>
      </c>
      <c r="I105" t="s">
        <v>15</v>
      </c>
      <c r="J105">
        <v>21285</v>
      </c>
      <c r="K105">
        <v>2</v>
      </c>
    </row>
    <row r="106" spans="1:11" x14ac:dyDescent="0.35">
      <c r="A106" t="s">
        <v>27</v>
      </c>
      <c r="B106" t="s">
        <v>18</v>
      </c>
      <c r="C106" t="s">
        <v>16</v>
      </c>
      <c r="D106">
        <v>68437</v>
      </c>
      <c r="E106">
        <v>78062</v>
      </c>
      <c r="F106">
        <v>-9625</v>
      </c>
      <c r="G106">
        <v>184</v>
      </c>
      <c r="H106">
        <v>42</v>
      </c>
      <c r="I106" t="s">
        <v>15</v>
      </c>
      <c r="J106">
        <v>13616</v>
      </c>
      <c r="K106">
        <v>0</v>
      </c>
    </row>
    <row r="107" spans="1:11" x14ac:dyDescent="0.35">
      <c r="A107" t="s">
        <v>27</v>
      </c>
      <c r="B107" t="s">
        <v>19</v>
      </c>
      <c r="C107" t="s">
        <v>13</v>
      </c>
      <c r="D107">
        <v>149412</v>
      </c>
      <c r="E107">
        <v>65413</v>
      </c>
      <c r="F107">
        <v>83999</v>
      </c>
      <c r="G107">
        <v>111</v>
      </c>
      <c r="H107">
        <v>31</v>
      </c>
      <c r="I107">
        <v>3360363</v>
      </c>
      <c r="J107">
        <v>43649</v>
      </c>
      <c r="K107">
        <v>7</v>
      </c>
    </row>
    <row r="108" spans="1:11" x14ac:dyDescent="0.35">
      <c r="A108" t="s">
        <v>27</v>
      </c>
      <c r="B108" t="s">
        <v>19</v>
      </c>
      <c r="C108" t="s">
        <v>14</v>
      </c>
      <c r="D108">
        <v>182899</v>
      </c>
      <c r="E108">
        <v>93604</v>
      </c>
      <c r="F108">
        <v>89295</v>
      </c>
      <c r="G108">
        <v>95</v>
      </c>
      <c r="H108">
        <v>68</v>
      </c>
      <c r="I108" t="s">
        <v>15</v>
      </c>
      <c r="J108">
        <v>21022</v>
      </c>
      <c r="K108">
        <v>4</v>
      </c>
    </row>
    <row r="109" spans="1:11" x14ac:dyDescent="0.35">
      <c r="A109" t="s">
        <v>27</v>
      </c>
      <c r="B109" t="s">
        <v>19</v>
      </c>
      <c r="C109" t="s">
        <v>16</v>
      </c>
      <c r="D109">
        <v>72772</v>
      </c>
      <c r="E109">
        <v>101912</v>
      </c>
      <c r="F109">
        <v>-29140</v>
      </c>
      <c r="G109">
        <v>157</v>
      </c>
      <c r="H109">
        <v>64</v>
      </c>
      <c r="I109" t="s">
        <v>15</v>
      </c>
      <c r="J109">
        <v>19640</v>
      </c>
      <c r="K109">
        <v>1</v>
      </c>
    </row>
    <row r="110" spans="1:11" x14ac:dyDescent="0.35">
      <c r="A110" t="s">
        <v>28</v>
      </c>
      <c r="B110" t="s">
        <v>12</v>
      </c>
      <c r="C110" t="s">
        <v>13</v>
      </c>
      <c r="D110">
        <v>171709</v>
      </c>
      <c r="E110">
        <v>116248</v>
      </c>
      <c r="F110">
        <v>55461</v>
      </c>
      <c r="G110">
        <v>81</v>
      </c>
      <c r="H110">
        <v>33</v>
      </c>
      <c r="I110">
        <v>4010645</v>
      </c>
      <c r="J110">
        <v>42242</v>
      </c>
      <c r="K110">
        <v>10</v>
      </c>
    </row>
    <row r="111" spans="1:11" x14ac:dyDescent="0.35">
      <c r="A111" t="s">
        <v>28</v>
      </c>
      <c r="B111" t="s">
        <v>12</v>
      </c>
      <c r="C111" t="s">
        <v>14</v>
      </c>
      <c r="D111">
        <v>63747</v>
      </c>
      <c r="E111">
        <v>30016</v>
      </c>
      <c r="F111">
        <v>33731</v>
      </c>
      <c r="G111">
        <v>117</v>
      </c>
      <c r="H111">
        <v>39</v>
      </c>
      <c r="I111" t="s">
        <v>15</v>
      </c>
      <c r="J111">
        <v>16696</v>
      </c>
      <c r="K111">
        <v>1</v>
      </c>
    </row>
    <row r="112" spans="1:11" x14ac:dyDescent="0.35">
      <c r="A112" t="s">
        <v>28</v>
      </c>
      <c r="B112" t="s">
        <v>12</v>
      </c>
      <c r="C112" t="s">
        <v>16</v>
      </c>
      <c r="D112">
        <v>192498</v>
      </c>
      <c r="E112">
        <v>95314</v>
      </c>
      <c r="F112">
        <v>97184</v>
      </c>
      <c r="G112">
        <v>85</v>
      </c>
      <c r="H112">
        <v>64</v>
      </c>
      <c r="I112" t="s">
        <v>15</v>
      </c>
      <c r="J112">
        <v>15288</v>
      </c>
      <c r="K112">
        <v>1</v>
      </c>
    </row>
    <row r="113" spans="1:11" x14ac:dyDescent="0.35">
      <c r="A113" t="s">
        <v>28</v>
      </c>
      <c r="B113" t="s">
        <v>17</v>
      </c>
      <c r="C113" t="s">
        <v>13</v>
      </c>
      <c r="D113">
        <v>66332</v>
      </c>
      <c r="E113">
        <v>97113</v>
      </c>
      <c r="F113">
        <v>-30781</v>
      </c>
      <c r="G113">
        <v>119</v>
      </c>
      <c r="H113">
        <v>21</v>
      </c>
      <c r="I113">
        <v>3077099</v>
      </c>
      <c r="J113">
        <v>37803</v>
      </c>
      <c r="K113">
        <v>7</v>
      </c>
    </row>
    <row r="114" spans="1:11" x14ac:dyDescent="0.35">
      <c r="A114" t="s">
        <v>28</v>
      </c>
      <c r="B114" t="s">
        <v>17</v>
      </c>
      <c r="C114" t="s">
        <v>14</v>
      </c>
      <c r="D114">
        <v>82213</v>
      </c>
      <c r="E114">
        <v>33972</v>
      </c>
      <c r="F114">
        <v>48241</v>
      </c>
      <c r="G114">
        <v>230</v>
      </c>
      <c r="H114">
        <v>41</v>
      </c>
      <c r="I114" t="s">
        <v>15</v>
      </c>
      <c r="J114">
        <v>28478</v>
      </c>
      <c r="K114">
        <v>2</v>
      </c>
    </row>
    <row r="115" spans="1:11" x14ac:dyDescent="0.35">
      <c r="A115" t="s">
        <v>28</v>
      </c>
      <c r="B115" t="s">
        <v>17</v>
      </c>
      <c r="C115" t="s">
        <v>16</v>
      </c>
      <c r="D115">
        <v>113906</v>
      </c>
      <c r="E115">
        <v>73132</v>
      </c>
      <c r="F115">
        <v>40774</v>
      </c>
      <c r="G115">
        <v>160</v>
      </c>
      <c r="H115">
        <v>34</v>
      </c>
      <c r="I115" t="s">
        <v>15</v>
      </c>
      <c r="J115">
        <v>10061</v>
      </c>
      <c r="K115">
        <v>0</v>
      </c>
    </row>
    <row r="116" spans="1:11" x14ac:dyDescent="0.35">
      <c r="A116" t="s">
        <v>28</v>
      </c>
      <c r="B116" t="s">
        <v>18</v>
      </c>
      <c r="C116" t="s">
        <v>13</v>
      </c>
      <c r="D116">
        <v>149256</v>
      </c>
      <c r="E116">
        <v>104932</v>
      </c>
      <c r="F116">
        <v>44324</v>
      </c>
      <c r="G116">
        <v>86</v>
      </c>
      <c r="H116">
        <v>62</v>
      </c>
      <c r="I116">
        <v>3583526</v>
      </c>
      <c r="J116">
        <v>57774</v>
      </c>
      <c r="K116">
        <v>4</v>
      </c>
    </row>
    <row r="117" spans="1:11" x14ac:dyDescent="0.35">
      <c r="A117" t="s">
        <v>28</v>
      </c>
      <c r="B117" t="s">
        <v>18</v>
      </c>
      <c r="C117" t="s">
        <v>14</v>
      </c>
      <c r="D117">
        <v>70934</v>
      </c>
      <c r="E117">
        <v>70348</v>
      </c>
      <c r="F117">
        <v>586</v>
      </c>
      <c r="G117">
        <v>124</v>
      </c>
      <c r="H117">
        <v>68</v>
      </c>
      <c r="I117" t="s">
        <v>15</v>
      </c>
      <c r="J117">
        <v>20023</v>
      </c>
      <c r="K117">
        <v>0</v>
      </c>
    </row>
    <row r="118" spans="1:11" x14ac:dyDescent="0.35">
      <c r="A118" t="s">
        <v>28</v>
      </c>
      <c r="B118" t="s">
        <v>18</v>
      </c>
      <c r="C118" t="s">
        <v>16</v>
      </c>
      <c r="D118">
        <v>131659</v>
      </c>
      <c r="E118">
        <v>91013</v>
      </c>
      <c r="F118">
        <v>40646</v>
      </c>
      <c r="G118">
        <v>91</v>
      </c>
      <c r="H118">
        <v>70</v>
      </c>
      <c r="I118" t="s">
        <v>15</v>
      </c>
      <c r="J118">
        <v>19732</v>
      </c>
      <c r="K118">
        <v>1</v>
      </c>
    </row>
    <row r="119" spans="1:11" x14ac:dyDescent="0.35">
      <c r="A119" t="s">
        <v>28</v>
      </c>
      <c r="B119" t="s">
        <v>19</v>
      </c>
      <c r="C119" t="s">
        <v>13</v>
      </c>
      <c r="D119">
        <v>137669</v>
      </c>
      <c r="E119">
        <v>49155</v>
      </c>
      <c r="F119">
        <v>88514</v>
      </c>
      <c r="G119">
        <v>113</v>
      </c>
      <c r="H119">
        <v>32</v>
      </c>
      <c r="I119">
        <v>4035475</v>
      </c>
      <c r="J119">
        <v>48012</v>
      </c>
      <c r="K119">
        <v>10</v>
      </c>
    </row>
    <row r="120" spans="1:11" x14ac:dyDescent="0.35">
      <c r="A120" t="s">
        <v>28</v>
      </c>
      <c r="B120" t="s">
        <v>19</v>
      </c>
      <c r="C120" t="s">
        <v>14</v>
      </c>
      <c r="D120">
        <v>73234</v>
      </c>
      <c r="E120">
        <v>59261</v>
      </c>
      <c r="F120">
        <v>13973</v>
      </c>
      <c r="G120">
        <v>216</v>
      </c>
      <c r="H120">
        <v>36</v>
      </c>
      <c r="I120" t="s">
        <v>15</v>
      </c>
      <c r="J120">
        <v>18592</v>
      </c>
      <c r="K120">
        <v>3</v>
      </c>
    </row>
    <row r="121" spans="1:11" x14ac:dyDescent="0.35">
      <c r="A121" t="s">
        <v>28</v>
      </c>
      <c r="B121" t="s">
        <v>19</v>
      </c>
      <c r="C121" t="s">
        <v>16</v>
      </c>
      <c r="D121">
        <v>108132</v>
      </c>
      <c r="E121">
        <v>83382</v>
      </c>
      <c r="F121">
        <v>24750</v>
      </c>
      <c r="G121">
        <v>121</v>
      </c>
      <c r="H121">
        <v>55</v>
      </c>
      <c r="I121" t="s">
        <v>15</v>
      </c>
      <c r="J121">
        <v>17830</v>
      </c>
      <c r="K121">
        <v>1</v>
      </c>
    </row>
    <row r="122" spans="1:11" x14ac:dyDescent="0.35">
      <c r="A122" t="s">
        <v>29</v>
      </c>
      <c r="B122" t="s">
        <v>12</v>
      </c>
      <c r="C122" t="s">
        <v>13</v>
      </c>
      <c r="D122">
        <v>137991</v>
      </c>
      <c r="E122">
        <v>73949</v>
      </c>
      <c r="F122">
        <v>64042</v>
      </c>
      <c r="G122">
        <v>194</v>
      </c>
      <c r="H122">
        <v>22</v>
      </c>
      <c r="I122">
        <v>3272329</v>
      </c>
      <c r="J122">
        <v>32780</v>
      </c>
      <c r="K122">
        <v>9</v>
      </c>
    </row>
    <row r="123" spans="1:11" x14ac:dyDescent="0.35">
      <c r="A123" t="s">
        <v>29</v>
      </c>
      <c r="B123" t="s">
        <v>12</v>
      </c>
      <c r="C123" t="s">
        <v>14</v>
      </c>
      <c r="D123">
        <v>109717</v>
      </c>
      <c r="E123">
        <v>38217</v>
      </c>
      <c r="F123">
        <v>71500</v>
      </c>
      <c r="G123">
        <v>143</v>
      </c>
      <c r="H123">
        <v>28</v>
      </c>
      <c r="I123" t="s">
        <v>15</v>
      </c>
      <c r="J123">
        <v>27361</v>
      </c>
      <c r="K123">
        <v>0</v>
      </c>
    </row>
    <row r="124" spans="1:11" x14ac:dyDescent="0.35">
      <c r="A124" t="s">
        <v>29</v>
      </c>
      <c r="B124" t="s">
        <v>12</v>
      </c>
      <c r="C124" t="s">
        <v>16</v>
      </c>
      <c r="D124">
        <v>81189</v>
      </c>
      <c r="E124">
        <v>111485</v>
      </c>
      <c r="F124">
        <v>-30296</v>
      </c>
      <c r="G124">
        <v>187</v>
      </c>
      <c r="H124">
        <v>20</v>
      </c>
      <c r="I124" t="s">
        <v>15</v>
      </c>
      <c r="J124">
        <v>14535</v>
      </c>
      <c r="K124">
        <v>1</v>
      </c>
    </row>
    <row r="125" spans="1:11" x14ac:dyDescent="0.35">
      <c r="A125" t="s">
        <v>29</v>
      </c>
      <c r="B125" t="s">
        <v>17</v>
      </c>
      <c r="C125" t="s">
        <v>13</v>
      </c>
      <c r="D125">
        <v>89295</v>
      </c>
      <c r="E125">
        <v>84828</v>
      </c>
      <c r="F125">
        <v>4467</v>
      </c>
      <c r="G125">
        <v>163</v>
      </c>
      <c r="H125">
        <v>33</v>
      </c>
      <c r="I125">
        <v>3399840</v>
      </c>
      <c r="J125">
        <v>46867</v>
      </c>
      <c r="K125">
        <v>6</v>
      </c>
    </row>
    <row r="126" spans="1:11" x14ac:dyDescent="0.35">
      <c r="A126" t="s">
        <v>29</v>
      </c>
      <c r="B126" t="s">
        <v>17</v>
      </c>
      <c r="C126" t="s">
        <v>14</v>
      </c>
      <c r="D126">
        <v>106553</v>
      </c>
      <c r="E126">
        <v>62208</v>
      </c>
      <c r="F126">
        <v>44345</v>
      </c>
      <c r="G126">
        <v>117</v>
      </c>
      <c r="H126">
        <v>69</v>
      </c>
      <c r="I126" t="s">
        <v>15</v>
      </c>
      <c r="J126">
        <v>15469</v>
      </c>
      <c r="K126">
        <v>3</v>
      </c>
    </row>
    <row r="127" spans="1:11" x14ac:dyDescent="0.35">
      <c r="A127" t="s">
        <v>29</v>
      </c>
      <c r="B127" t="s">
        <v>17</v>
      </c>
      <c r="C127" t="s">
        <v>16</v>
      </c>
      <c r="D127">
        <v>122594</v>
      </c>
      <c r="E127">
        <v>111566</v>
      </c>
      <c r="F127">
        <v>11028</v>
      </c>
      <c r="G127">
        <v>246</v>
      </c>
      <c r="H127">
        <v>51</v>
      </c>
      <c r="I127" t="s">
        <v>15</v>
      </c>
      <c r="J127">
        <v>13030</v>
      </c>
      <c r="K127">
        <v>2</v>
      </c>
    </row>
    <row r="128" spans="1:11" x14ac:dyDescent="0.35">
      <c r="A128" t="s">
        <v>29</v>
      </c>
      <c r="B128" t="s">
        <v>18</v>
      </c>
      <c r="C128" t="s">
        <v>13</v>
      </c>
      <c r="D128">
        <v>112392</v>
      </c>
      <c r="E128">
        <v>98725</v>
      </c>
      <c r="F128">
        <v>13667</v>
      </c>
      <c r="G128">
        <v>97</v>
      </c>
      <c r="H128">
        <v>58</v>
      </c>
      <c r="I128">
        <v>2917170</v>
      </c>
      <c r="J128">
        <v>34140</v>
      </c>
      <c r="K128">
        <v>9</v>
      </c>
    </row>
    <row r="129" spans="1:11" x14ac:dyDescent="0.35">
      <c r="A129" t="s">
        <v>29</v>
      </c>
      <c r="B129" t="s">
        <v>18</v>
      </c>
      <c r="C129" t="s">
        <v>14</v>
      </c>
      <c r="D129">
        <v>192342</v>
      </c>
      <c r="E129">
        <v>33117</v>
      </c>
      <c r="F129">
        <v>159225</v>
      </c>
      <c r="G129">
        <v>144</v>
      </c>
      <c r="H129">
        <v>36</v>
      </c>
      <c r="I129" t="s">
        <v>15</v>
      </c>
      <c r="J129">
        <v>28586</v>
      </c>
      <c r="K129">
        <v>2</v>
      </c>
    </row>
    <row r="130" spans="1:11" x14ac:dyDescent="0.35">
      <c r="A130" t="s">
        <v>29</v>
      </c>
      <c r="B130" t="s">
        <v>18</v>
      </c>
      <c r="C130" t="s">
        <v>16</v>
      </c>
      <c r="D130">
        <v>81206</v>
      </c>
      <c r="E130">
        <v>93951</v>
      </c>
      <c r="F130">
        <v>-12745</v>
      </c>
      <c r="G130">
        <v>147</v>
      </c>
      <c r="H130">
        <v>48</v>
      </c>
      <c r="I130" t="s">
        <v>15</v>
      </c>
      <c r="J130">
        <v>11752</v>
      </c>
      <c r="K130">
        <v>2</v>
      </c>
    </row>
    <row r="131" spans="1:11" x14ac:dyDescent="0.35">
      <c r="A131" t="s">
        <v>29</v>
      </c>
      <c r="B131" t="s">
        <v>19</v>
      </c>
      <c r="C131" t="s">
        <v>13</v>
      </c>
      <c r="D131">
        <v>75313</v>
      </c>
      <c r="E131">
        <v>90663</v>
      </c>
      <c r="F131">
        <v>-15350</v>
      </c>
      <c r="G131">
        <v>181</v>
      </c>
      <c r="H131">
        <v>38</v>
      </c>
      <c r="I131">
        <v>4859555</v>
      </c>
      <c r="J131">
        <v>34424</v>
      </c>
      <c r="K131">
        <v>9</v>
      </c>
    </row>
    <row r="132" spans="1:11" x14ac:dyDescent="0.35">
      <c r="A132" t="s">
        <v>29</v>
      </c>
      <c r="B132" t="s">
        <v>19</v>
      </c>
      <c r="C132" t="s">
        <v>14</v>
      </c>
      <c r="D132">
        <v>173771</v>
      </c>
      <c r="E132">
        <v>89626</v>
      </c>
      <c r="F132">
        <v>84145</v>
      </c>
      <c r="G132">
        <v>225</v>
      </c>
      <c r="H132">
        <v>53</v>
      </c>
      <c r="I132" t="s">
        <v>15</v>
      </c>
      <c r="J132">
        <v>16971</v>
      </c>
      <c r="K132">
        <v>1</v>
      </c>
    </row>
    <row r="133" spans="1:11" x14ac:dyDescent="0.35">
      <c r="A133" t="s">
        <v>29</v>
      </c>
      <c r="B133" t="s">
        <v>19</v>
      </c>
      <c r="C133" t="s">
        <v>16</v>
      </c>
      <c r="D133">
        <v>120865</v>
      </c>
      <c r="E133">
        <v>109259</v>
      </c>
      <c r="F133">
        <v>11606</v>
      </c>
      <c r="G133">
        <v>157</v>
      </c>
      <c r="H133">
        <v>45</v>
      </c>
      <c r="I133" t="s">
        <v>15</v>
      </c>
      <c r="J133">
        <v>12005</v>
      </c>
      <c r="K133">
        <v>2</v>
      </c>
    </row>
    <row r="134" spans="1:11" x14ac:dyDescent="0.35">
      <c r="A134" t="s">
        <v>30</v>
      </c>
      <c r="B134" t="s">
        <v>12</v>
      </c>
      <c r="C134" t="s">
        <v>13</v>
      </c>
      <c r="D134">
        <v>99742</v>
      </c>
      <c r="E134">
        <v>41500</v>
      </c>
      <c r="F134">
        <v>58242</v>
      </c>
      <c r="G134">
        <v>122</v>
      </c>
      <c r="H134">
        <v>47</v>
      </c>
      <c r="I134">
        <v>4739297</v>
      </c>
      <c r="J134">
        <v>40289</v>
      </c>
      <c r="K134">
        <v>5</v>
      </c>
    </row>
    <row r="135" spans="1:11" x14ac:dyDescent="0.35">
      <c r="A135" t="s">
        <v>30</v>
      </c>
      <c r="B135" t="s">
        <v>12</v>
      </c>
      <c r="C135" t="s">
        <v>14</v>
      </c>
      <c r="D135">
        <v>99208</v>
      </c>
      <c r="E135">
        <v>56311</v>
      </c>
      <c r="F135">
        <v>42897</v>
      </c>
      <c r="G135">
        <v>118</v>
      </c>
      <c r="H135">
        <v>28</v>
      </c>
      <c r="I135" t="s">
        <v>15</v>
      </c>
      <c r="J135">
        <v>21274</v>
      </c>
      <c r="K135">
        <v>0</v>
      </c>
    </row>
    <row r="136" spans="1:11" x14ac:dyDescent="0.35">
      <c r="A136" t="s">
        <v>30</v>
      </c>
      <c r="B136" t="s">
        <v>12</v>
      </c>
      <c r="C136" t="s">
        <v>16</v>
      </c>
      <c r="D136">
        <v>141961</v>
      </c>
      <c r="E136">
        <v>100201</v>
      </c>
      <c r="F136">
        <v>41760</v>
      </c>
      <c r="G136">
        <v>155</v>
      </c>
      <c r="H136">
        <v>65</v>
      </c>
      <c r="I136" t="s">
        <v>15</v>
      </c>
      <c r="J136">
        <v>14708</v>
      </c>
      <c r="K136">
        <v>1</v>
      </c>
    </row>
    <row r="137" spans="1:11" x14ac:dyDescent="0.35">
      <c r="A137" t="s">
        <v>30</v>
      </c>
      <c r="B137" t="s">
        <v>17</v>
      </c>
      <c r="C137" t="s">
        <v>13</v>
      </c>
      <c r="D137">
        <v>133614</v>
      </c>
      <c r="E137">
        <v>69666</v>
      </c>
      <c r="F137">
        <v>63948</v>
      </c>
      <c r="G137">
        <v>115</v>
      </c>
      <c r="H137">
        <v>23</v>
      </c>
      <c r="I137">
        <v>4309621</v>
      </c>
      <c r="J137">
        <v>46799</v>
      </c>
      <c r="K137">
        <v>6</v>
      </c>
    </row>
    <row r="138" spans="1:11" x14ac:dyDescent="0.35">
      <c r="A138" t="s">
        <v>30</v>
      </c>
      <c r="B138" t="s">
        <v>17</v>
      </c>
      <c r="C138" t="s">
        <v>14</v>
      </c>
      <c r="D138">
        <v>150302</v>
      </c>
      <c r="E138">
        <v>66853</v>
      </c>
      <c r="F138">
        <v>83449</v>
      </c>
      <c r="G138">
        <v>89</v>
      </c>
      <c r="H138">
        <v>42</v>
      </c>
      <c r="I138" t="s">
        <v>15</v>
      </c>
      <c r="J138">
        <v>23213</v>
      </c>
      <c r="K138">
        <v>1</v>
      </c>
    </row>
    <row r="139" spans="1:11" x14ac:dyDescent="0.35">
      <c r="A139" t="s">
        <v>30</v>
      </c>
      <c r="B139" t="s">
        <v>17</v>
      </c>
      <c r="C139" t="s">
        <v>16</v>
      </c>
      <c r="D139">
        <v>180008</v>
      </c>
      <c r="E139">
        <v>108187</v>
      </c>
      <c r="F139">
        <v>71821</v>
      </c>
      <c r="G139">
        <v>174</v>
      </c>
      <c r="H139">
        <v>37</v>
      </c>
      <c r="I139" t="s">
        <v>15</v>
      </c>
      <c r="J139">
        <v>11524</v>
      </c>
      <c r="K139">
        <v>1</v>
      </c>
    </row>
    <row r="140" spans="1:11" x14ac:dyDescent="0.35">
      <c r="A140" t="s">
        <v>30</v>
      </c>
      <c r="B140" t="s">
        <v>18</v>
      </c>
      <c r="C140" t="s">
        <v>13</v>
      </c>
      <c r="D140">
        <v>124485</v>
      </c>
      <c r="E140">
        <v>101735</v>
      </c>
      <c r="F140">
        <v>22750</v>
      </c>
      <c r="G140">
        <v>193</v>
      </c>
      <c r="H140">
        <v>45</v>
      </c>
      <c r="I140">
        <v>2771981</v>
      </c>
      <c r="J140">
        <v>40501</v>
      </c>
      <c r="K140">
        <v>10</v>
      </c>
    </row>
    <row r="141" spans="1:11" x14ac:dyDescent="0.35">
      <c r="A141" t="s">
        <v>30</v>
      </c>
      <c r="B141" t="s">
        <v>18</v>
      </c>
      <c r="C141" t="s">
        <v>14</v>
      </c>
      <c r="D141">
        <v>126249</v>
      </c>
      <c r="E141">
        <v>73913</v>
      </c>
      <c r="F141">
        <v>52336</v>
      </c>
      <c r="G141">
        <v>189</v>
      </c>
      <c r="H141">
        <v>54</v>
      </c>
      <c r="I141" t="s">
        <v>15</v>
      </c>
      <c r="J141">
        <v>15308</v>
      </c>
      <c r="K141">
        <v>3</v>
      </c>
    </row>
    <row r="142" spans="1:11" x14ac:dyDescent="0.35">
      <c r="A142" t="s">
        <v>30</v>
      </c>
      <c r="B142" t="s">
        <v>18</v>
      </c>
      <c r="C142" t="s">
        <v>16</v>
      </c>
      <c r="D142">
        <v>162796</v>
      </c>
      <c r="E142">
        <v>56247</v>
      </c>
      <c r="F142">
        <v>106549</v>
      </c>
      <c r="G142">
        <v>227</v>
      </c>
      <c r="H142">
        <v>29</v>
      </c>
      <c r="I142" t="s">
        <v>15</v>
      </c>
      <c r="J142">
        <v>18712</v>
      </c>
      <c r="K142">
        <v>2</v>
      </c>
    </row>
    <row r="143" spans="1:11" x14ac:dyDescent="0.35">
      <c r="A143" t="s">
        <v>30</v>
      </c>
      <c r="B143" t="s">
        <v>19</v>
      </c>
      <c r="C143" t="s">
        <v>13</v>
      </c>
      <c r="D143">
        <v>191187</v>
      </c>
      <c r="E143">
        <v>58121</v>
      </c>
      <c r="F143">
        <v>133066</v>
      </c>
      <c r="G143">
        <v>124</v>
      </c>
      <c r="H143">
        <v>59</v>
      </c>
      <c r="I143">
        <v>3278444</v>
      </c>
      <c r="J143">
        <v>51965</v>
      </c>
      <c r="K143">
        <v>5</v>
      </c>
    </row>
    <row r="144" spans="1:11" x14ac:dyDescent="0.35">
      <c r="A144" t="s">
        <v>30</v>
      </c>
      <c r="B144" t="s">
        <v>19</v>
      </c>
      <c r="C144" t="s">
        <v>14</v>
      </c>
      <c r="D144">
        <v>77898</v>
      </c>
      <c r="E144">
        <v>45015</v>
      </c>
      <c r="F144">
        <v>32883</v>
      </c>
      <c r="G144">
        <v>144</v>
      </c>
      <c r="H144">
        <v>22</v>
      </c>
      <c r="I144" t="s">
        <v>15</v>
      </c>
      <c r="J144">
        <v>26022</v>
      </c>
      <c r="K144">
        <v>1</v>
      </c>
    </row>
    <row r="145" spans="1:11" x14ac:dyDescent="0.35">
      <c r="A145" t="s">
        <v>30</v>
      </c>
      <c r="B145" t="s">
        <v>19</v>
      </c>
      <c r="C145" t="s">
        <v>16</v>
      </c>
      <c r="D145">
        <v>120000</v>
      </c>
      <c r="E145">
        <v>117852</v>
      </c>
      <c r="F145">
        <v>2148</v>
      </c>
      <c r="G145">
        <v>220</v>
      </c>
      <c r="H145">
        <v>34</v>
      </c>
      <c r="I145" t="s">
        <v>15</v>
      </c>
      <c r="J145">
        <v>11042</v>
      </c>
      <c r="K145">
        <v>0</v>
      </c>
    </row>
  </sheetData>
  <autoFilter ref="A1:K145" xr:uid="{15F18E69-18D0-4A19-865B-C58DF045E619}"/>
  <pageMargins left="0.75" right="0.75" top="1" bottom="1" header="0.5" footer="0.5"/>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DE2A2-88CF-4150-972D-C6673ABB076F}">
  <sheetPr codeName="Sheet2"/>
  <dimension ref="A1:N46"/>
  <sheetViews>
    <sheetView topLeftCell="A32" workbookViewId="0">
      <selection activeCell="J43" sqref="J43"/>
    </sheetView>
  </sheetViews>
  <sheetFormatPr defaultRowHeight="14.5" x14ac:dyDescent="0.35"/>
  <cols>
    <col min="1" max="1" width="12.36328125" bestFit="1" customWidth="1"/>
    <col min="2" max="2" width="14.90625" bestFit="1" customWidth="1"/>
    <col min="9" max="9" width="14.36328125" bestFit="1" customWidth="1"/>
    <col min="10" max="10" width="15.26953125" bestFit="1" customWidth="1"/>
    <col min="11" max="13" width="7.81640625" bestFit="1" customWidth="1"/>
    <col min="14" max="14" width="10.7265625" bestFit="1" customWidth="1"/>
    <col min="15" max="21" width="7.81640625" bestFit="1" customWidth="1"/>
    <col min="22" max="22" width="10.7265625" bestFit="1" customWidth="1"/>
  </cols>
  <sheetData>
    <row r="1" spans="1:10" x14ac:dyDescent="0.35">
      <c r="A1" s="2" t="s">
        <v>31</v>
      </c>
      <c r="B1" t="s">
        <v>33</v>
      </c>
      <c r="I1" s="2" t="s">
        <v>31</v>
      </c>
      <c r="J1" t="s">
        <v>33</v>
      </c>
    </row>
    <row r="2" spans="1:10" x14ac:dyDescent="0.35">
      <c r="A2" s="3" t="s">
        <v>18</v>
      </c>
      <c r="B2" s="4">
        <v>4752652</v>
      </c>
      <c r="I2" s="3" t="s">
        <v>11</v>
      </c>
      <c r="J2" s="4">
        <v>1577473</v>
      </c>
    </row>
    <row r="3" spans="1:10" x14ac:dyDescent="0.35">
      <c r="A3" s="3" t="s">
        <v>12</v>
      </c>
      <c r="B3" s="4">
        <v>4673146</v>
      </c>
      <c r="I3" s="3" t="s">
        <v>20</v>
      </c>
      <c r="J3" s="4">
        <v>1728997</v>
      </c>
    </row>
    <row r="4" spans="1:10" x14ac:dyDescent="0.35">
      <c r="A4" s="3" t="s">
        <v>17</v>
      </c>
      <c r="B4" s="4">
        <v>4667988</v>
      </c>
      <c r="I4" s="3" t="s">
        <v>21</v>
      </c>
      <c r="J4" s="4">
        <v>1635545</v>
      </c>
    </row>
    <row r="5" spans="1:10" x14ac:dyDescent="0.35">
      <c r="A5" s="3" t="s">
        <v>19</v>
      </c>
      <c r="B5" s="4">
        <v>4709595</v>
      </c>
      <c r="I5" s="3" t="s">
        <v>22</v>
      </c>
      <c r="J5" s="4">
        <v>1738660</v>
      </c>
    </row>
    <row r="6" spans="1:10" x14ac:dyDescent="0.35">
      <c r="A6" s="3" t="s">
        <v>32</v>
      </c>
      <c r="B6" s="4">
        <v>18803381</v>
      </c>
      <c r="I6" s="3" t="s">
        <v>23</v>
      </c>
      <c r="J6" s="4">
        <v>1595107</v>
      </c>
    </row>
    <row r="7" spans="1:10" x14ac:dyDescent="0.35">
      <c r="I7" s="3" t="s">
        <v>24</v>
      </c>
      <c r="J7" s="4">
        <v>1492881</v>
      </c>
    </row>
    <row r="8" spans="1:10" x14ac:dyDescent="0.35">
      <c r="I8" s="3" t="s">
        <v>25</v>
      </c>
      <c r="J8" s="4">
        <v>1354447</v>
      </c>
    </row>
    <row r="9" spans="1:10" x14ac:dyDescent="0.35">
      <c r="B9" s="5">
        <f>SUM(B2:B5)</f>
        <v>18803381</v>
      </c>
      <c r="I9" s="3" t="s">
        <v>26</v>
      </c>
      <c r="J9" s="4">
        <v>1658390</v>
      </c>
    </row>
    <row r="10" spans="1:10" x14ac:dyDescent="0.35">
      <c r="I10" s="3" t="s">
        <v>27</v>
      </c>
      <c r="J10" s="4">
        <v>1649914</v>
      </c>
    </row>
    <row r="11" spans="1:10" x14ac:dyDescent="0.35">
      <c r="I11" s="3" t="s">
        <v>28</v>
      </c>
      <c r="J11" s="4">
        <v>1361289</v>
      </c>
    </row>
    <row r="12" spans="1:10" x14ac:dyDescent="0.35">
      <c r="A12" s="2" t="s">
        <v>31</v>
      </c>
      <c r="B12" t="s">
        <v>33</v>
      </c>
      <c r="I12" s="3" t="s">
        <v>29</v>
      </c>
      <c r="J12" s="4">
        <v>1403228</v>
      </c>
    </row>
    <row r="13" spans="1:10" x14ac:dyDescent="0.35">
      <c r="A13" s="3" t="s">
        <v>14</v>
      </c>
      <c r="B13" s="4">
        <v>5910353</v>
      </c>
      <c r="I13" s="3" t="s">
        <v>30</v>
      </c>
      <c r="J13" s="4">
        <v>1607450</v>
      </c>
    </row>
    <row r="14" spans="1:10" x14ac:dyDescent="0.35">
      <c r="A14" s="3" t="s">
        <v>16</v>
      </c>
      <c r="B14" s="4">
        <v>6306779</v>
      </c>
      <c r="I14" s="3" t="s">
        <v>32</v>
      </c>
      <c r="J14" s="4">
        <v>18803381</v>
      </c>
    </row>
    <row r="15" spans="1:10" x14ac:dyDescent="0.35">
      <c r="A15" s="3" t="s">
        <v>13</v>
      </c>
      <c r="B15" s="4">
        <v>6586249</v>
      </c>
    </row>
    <row r="16" spans="1:10" x14ac:dyDescent="0.35">
      <c r="A16" s="3" t="s">
        <v>32</v>
      </c>
      <c r="B16" s="4">
        <v>18803381</v>
      </c>
    </row>
    <row r="17" spans="1:14" x14ac:dyDescent="0.35">
      <c r="I17" s="2" t="s">
        <v>33</v>
      </c>
      <c r="J17" s="2" t="s">
        <v>35</v>
      </c>
    </row>
    <row r="18" spans="1:14" x14ac:dyDescent="0.35">
      <c r="I18" s="2" t="s">
        <v>31</v>
      </c>
      <c r="J18" t="s">
        <v>18</v>
      </c>
      <c r="K18" t="s">
        <v>12</v>
      </c>
      <c r="L18" t="s">
        <v>17</v>
      </c>
      <c r="M18" t="s">
        <v>19</v>
      </c>
      <c r="N18" t="s">
        <v>32</v>
      </c>
    </row>
    <row r="19" spans="1:14" x14ac:dyDescent="0.35">
      <c r="I19" s="3" t="s">
        <v>11</v>
      </c>
      <c r="J19" s="4">
        <v>357693</v>
      </c>
      <c r="K19" s="4">
        <v>450809</v>
      </c>
      <c r="L19" s="4">
        <v>363819</v>
      </c>
      <c r="M19" s="4">
        <v>405152</v>
      </c>
      <c r="N19" s="4">
        <v>1577473</v>
      </c>
    </row>
    <row r="20" spans="1:14" x14ac:dyDescent="0.35">
      <c r="I20" s="3" t="s">
        <v>20</v>
      </c>
      <c r="J20" s="4">
        <v>447993</v>
      </c>
      <c r="K20" s="4">
        <v>349477</v>
      </c>
      <c r="L20" s="4">
        <v>556767</v>
      </c>
      <c r="M20" s="4">
        <v>374760</v>
      </c>
      <c r="N20" s="4">
        <v>1728997</v>
      </c>
    </row>
    <row r="21" spans="1:14" x14ac:dyDescent="0.35">
      <c r="I21" s="3" t="s">
        <v>21</v>
      </c>
      <c r="J21" s="4">
        <v>513150</v>
      </c>
      <c r="K21" s="4">
        <v>340557</v>
      </c>
      <c r="L21" s="4">
        <v>367543</v>
      </c>
      <c r="M21" s="4">
        <v>414295</v>
      </c>
      <c r="N21" s="4">
        <v>1635545</v>
      </c>
    </row>
    <row r="22" spans="1:14" x14ac:dyDescent="0.35">
      <c r="I22" s="3" t="s">
        <v>22</v>
      </c>
      <c r="J22" s="4">
        <v>439355</v>
      </c>
      <c r="K22" s="4">
        <v>423210</v>
      </c>
      <c r="L22" s="4">
        <v>471669</v>
      </c>
      <c r="M22" s="4">
        <v>404426</v>
      </c>
      <c r="N22" s="4">
        <v>1738660</v>
      </c>
    </row>
    <row r="23" spans="1:14" x14ac:dyDescent="0.35">
      <c r="I23" s="3" t="s">
        <v>23</v>
      </c>
      <c r="J23" s="4">
        <v>305226</v>
      </c>
      <c r="K23" s="4">
        <v>560829</v>
      </c>
      <c r="L23" s="4">
        <v>285182</v>
      </c>
      <c r="M23" s="4">
        <v>443870</v>
      </c>
      <c r="N23" s="4">
        <v>1595107</v>
      </c>
    </row>
    <row r="24" spans="1:14" x14ac:dyDescent="0.35">
      <c r="I24" s="3" t="s">
        <v>24</v>
      </c>
      <c r="J24" s="4">
        <v>471040</v>
      </c>
      <c r="K24" s="4">
        <v>294320</v>
      </c>
      <c r="L24" s="4">
        <v>323145</v>
      </c>
      <c r="M24" s="4">
        <v>404376</v>
      </c>
      <c r="N24" s="4">
        <v>1492881</v>
      </c>
    </row>
    <row r="25" spans="1:14" x14ac:dyDescent="0.35">
      <c r="A25" s="2" t="s">
        <v>31</v>
      </c>
      <c r="B25" t="s">
        <v>34</v>
      </c>
      <c r="I25" s="3" t="s">
        <v>25</v>
      </c>
      <c r="J25" s="4">
        <v>320910</v>
      </c>
      <c r="K25" s="4">
        <v>287289</v>
      </c>
      <c r="L25" s="4">
        <v>410945</v>
      </c>
      <c r="M25" s="4">
        <v>335303</v>
      </c>
      <c r="N25" s="4">
        <v>1354447</v>
      </c>
    </row>
    <row r="26" spans="1:14" x14ac:dyDescent="0.35">
      <c r="A26" s="3" t="s">
        <v>11</v>
      </c>
      <c r="B26" s="4">
        <v>587808</v>
      </c>
      <c r="I26" s="3" t="s">
        <v>26</v>
      </c>
      <c r="J26" s="4">
        <v>361178</v>
      </c>
      <c r="K26" s="4">
        <v>402195</v>
      </c>
      <c r="L26" s="4">
        <v>450756</v>
      </c>
      <c r="M26" s="4">
        <v>444261</v>
      </c>
      <c r="N26" s="4">
        <v>1658390</v>
      </c>
    </row>
    <row r="27" spans="1:14" x14ac:dyDescent="0.35">
      <c r="A27" s="3" t="s">
        <v>20</v>
      </c>
      <c r="B27" s="4">
        <v>826308</v>
      </c>
      <c r="I27" s="3" t="s">
        <v>27</v>
      </c>
      <c r="J27" s="4">
        <v>384788</v>
      </c>
      <c r="K27" s="4">
        <v>466698</v>
      </c>
      <c r="L27" s="4">
        <v>393345</v>
      </c>
      <c r="M27" s="4">
        <v>405083</v>
      </c>
      <c r="N27" s="4">
        <v>1649914</v>
      </c>
    </row>
    <row r="28" spans="1:14" x14ac:dyDescent="0.35">
      <c r="A28" s="3" t="s">
        <v>21</v>
      </c>
      <c r="B28" s="4">
        <v>853620</v>
      </c>
      <c r="I28" s="3" t="s">
        <v>28</v>
      </c>
      <c r="J28" s="4">
        <v>351849</v>
      </c>
      <c r="K28" s="4">
        <v>427954</v>
      </c>
      <c r="L28" s="4">
        <v>262451</v>
      </c>
      <c r="M28" s="4">
        <v>319035</v>
      </c>
      <c r="N28" s="4">
        <v>1361289</v>
      </c>
    </row>
    <row r="29" spans="1:14" x14ac:dyDescent="0.35">
      <c r="A29" s="3" t="s">
        <v>22</v>
      </c>
      <c r="B29" s="4">
        <v>903326</v>
      </c>
      <c r="I29" s="3" t="s">
        <v>29</v>
      </c>
      <c r="J29" s="4">
        <v>385940</v>
      </c>
      <c r="K29" s="4">
        <v>328897</v>
      </c>
      <c r="L29" s="4">
        <v>318442</v>
      </c>
      <c r="M29" s="4">
        <v>369949</v>
      </c>
      <c r="N29" s="4">
        <v>1403228</v>
      </c>
    </row>
    <row r="30" spans="1:14" x14ac:dyDescent="0.35">
      <c r="A30" s="3" t="s">
        <v>23</v>
      </c>
      <c r="B30" s="4">
        <v>600296</v>
      </c>
      <c r="I30" s="3" t="s">
        <v>30</v>
      </c>
      <c r="J30" s="4">
        <v>413530</v>
      </c>
      <c r="K30" s="4">
        <v>340911</v>
      </c>
      <c r="L30" s="4">
        <v>463924</v>
      </c>
      <c r="M30" s="4">
        <v>389085</v>
      </c>
      <c r="N30" s="4">
        <v>1607450</v>
      </c>
    </row>
    <row r="31" spans="1:14" x14ac:dyDescent="0.35">
      <c r="A31" s="3" t="s">
        <v>24</v>
      </c>
      <c r="B31" s="4">
        <v>503724</v>
      </c>
      <c r="I31" s="3" t="s">
        <v>32</v>
      </c>
      <c r="J31" s="4">
        <v>4752652</v>
      </c>
      <c r="K31" s="4">
        <v>4673146</v>
      </c>
      <c r="L31" s="4">
        <v>4667988</v>
      </c>
      <c r="M31" s="4">
        <v>4709595</v>
      </c>
      <c r="N31" s="4">
        <v>18803381</v>
      </c>
    </row>
    <row r="32" spans="1:14" x14ac:dyDescent="0.35">
      <c r="A32" s="3" t="s">
        <v>25</v>
      </c>
      <c r="B32" s="4">
        <v>532844</v>
      </c>
    </row>
    <row r="33" spans="1:10" x14ac:dyDescent="0.35">
      <c r="A33" s="3" t="s">
        <v>26</v>
      </c>
      <c r="B33" s="4">
        <v>975053</v>
      </c>
    </row>
    <row r="34" spans="1:10" x14ac:dyDescent="0.35">
      <c r="A34" s="3" t="s">
        <v>27</v>
      </c>
      <c r="B34" s="4">
        <v>855527</v>
      </c>
    </row>
    <row r="35" spans="1:10" x14ac:dyDescent="0.35">
      <c r="A35" s="3" t="s">
        <v>28</v>
      </c>
      <c r="B35" s="4">
        <v>457403</v>
      </c>
    </row>
    <row r="36" spans="1:10" x14ac:dyDescent="0.35">
      <c r="A36" s="3" t="s">
        <v>29</v>
      </c>
      <c r="B36" s="4">
        <v>405634</v>
      </c>
    </row>
    <row r="37" spans="1:10" x14ac:dyDescent="0.35">
      <c r="A37" s="3" t="s">
        <v>30</v>
      </c>
      <c r="B37" s="4">
        <v>711849</v>
      </c>
    </row>
    <row r="38" spans="1:10" x14ac:dyDescent="0.35">
      <c r="A38" s="3" t="s">
        <v>32</v>
      </c>
      <c r="B38" s="4">
        <v>8213392</v>
      </c>
    </row>
    <row r="39" spans="1:10" x14ac:dyDescent="0.35">
      <c r="B39" s="5">
        <f>SUM(B26:B37)</f>
        <v>8213392</v>
      </c>
    </row>
    <row r="42" spans="1:10" x14ac:dyDescent="0.35">
      <c r="A42" s="2" t="s">
        <v>31</v>
      </c>
      <c r="B42" t="s">
        <v>36</v>
      </c>
    </row>
    <row r="43" spans="1:10" x14ac:dyDescent="0.35">
      <c r="A43" s="3" t="s">
        <v>14</v>
      </c>
      <c r="B43" s="4">
        <v>3255052</v>
      </c>
      <c r="J43">
        <f>SUM(A31:A172)</f>
        <v>0</v>
      </c>
    </row>
    <row r="44" spans="1:10" x14ac:dyDescent="0.35">
      <c r="A44" s="3" t="s">
        <v>16</v>
      </c>
      <c r="B44" s="4">
        <v>3805224</v>
      </c>
    </row>
    <row r="45" spans="1:10" x14ac:dyDescent="0.35">
      <c r="A45" s="3" t="s">
        <v>13</v>
      </c>
      <c r="B45" s="4">
        <v>3529713</v>
      </c>
    </row>
    <row r="46" spans="1:10" x14ac:dyDescent="0.35">
      <c r="A46" s="3" t="s">
        <v>32</v>
      </c>
      <c r="B46" s="4">
        <v>10589989</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142A7-EE8E-4EAD-9B39-64CB697FDEA6}">
  <sheetPr codeName="Sheet3"/>
  <dimension ref="A1"/>
  <sheetViews>
    <sheetView tabSelected="1" zoomScale="63" zoomScaleNormal="63" workbookViewId="0">
      <selection activeCell="AA12" sqref="AA12"/>
    </sheetView>
  </sheetViews>
  <sheetFormatPr defaultRowHeight="14.5" x14ac:dyDescent="0.35"/>
  <cols>
    <col min="27" max="27" width="18.2695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Finance_Data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2026-03-30T05:05:06Z</dcterms:created>
  <dcterms:modified xsi:type="dcterms:W3CDTF">2026-03-30T08:50:20Z</dcterms:modified>
</cp:coreProperties>
</file>